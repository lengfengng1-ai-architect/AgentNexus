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预算总览" sheetId="1" state="visible" r:id="rId1"/>
    <sheet xmlns:r="http://schemas.openxmlformats.org/officeDocument/2006/relationships" name="预算明细" sheetId="2" state="visible" r:id="rId2"/>
    <sheet xmlns:r="http://schemas.openxmlformats.org/officeDocument/2006/relationships" name="活动流程时间线" sheetId="3" state="visible" r:id="rId3"/>
    <sheet xmlns:r="http://schemas.openxmlformats.org/officeDocument/2006/relationships" name="预期效果KP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718096"/>
      <sz val="10"/>
    </font>
    <font>
      <name val="微软雅黑"/>
      <b val="1"/>
      <color rgb="00FFFFFF"/>
      <sz val="11"/>
    </font>
    <font>
      <name val="微软雅黑"/>
      <color rgb="002D3748"/>
      <sz val="10"/>
    </font>
    <font>
      <name val="微软雅黑"/>
      <b val="1"/>
      <color rgb="001F4E79"/>
      <sz val="11"/>
    </font>
    <font>
      <name val="微软雅黑"/>
      <i val="1"/>
      <color rgb="00718096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D374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预算分配占比（800.0万）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'预算总览'!$B$4:$B$9</f>
            </numRef>
          </cat>
          <val>
            <numRef>
              <f>'预算总览'!$C$4:$C$9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各费用大类对比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'预算明细'!B23</f>
            </strRef>
          </tx>
          <spPr>
            <a:solidFill xmlns:a="http://schemas.openxmlformats.org/drawingml/2006/main">
              <a:srgbClr val="4A6CF7"/>
            </a:solidFill>
            <a:ln xmlns:a="http://schemas.openxmlformats.org/drawingml/2006/main">
              <a:prstDash val="solid"/>
            </a:ln>
          </spPr>
          <cat>
            <numRef>
              <f>'预算明细'!$A$24:$A$29</f>
            </numRef>
          </cat>
          <val>
            <numRef>
              <f>'预算明细'!$B$24:$B$29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金额（万元）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活动流程甘特图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'活动流程时间线'!C22</f>
            </strRef>
          </tx>
          <spPr>
            <a:solidFill xmlns:a="http://schemas.openxmlformats.org/drawingml/2006/main">
              <a:srgbClr val="4A6CF7"/>
            </a:solidFill>
            <a:ln xmlns:a="http://schemas.openxmlformats.org/drawingml/2006/main">
              <a:prstDash val="solid"/>
            </a:ln>
          </spPr>
          <cat>
            <numRef>
              <f>'活动流程时间线'!$A$23:$A$26</f>
            </numRef>
          </cat>
          <val>
            <numRef>
              <f>'活动流程时间线'!$C$23:$C$26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核心 KPI 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'预期效果KPI'!G2</f>
            </strRef>
          </tx>
          <spPr>
            <a:solidFill xmlns:a="http://schemas.openxmlformats.org/drawingml/2006/main">
              <a:srgbClr val="4A6CF7"/>
            </a:solidFill>
            <a:ln xmlns:a="http://schemas.openxmlformats.org/drawingml/2006/main">
              <a:prstDash val="solid"/>
            </a:ln>
          </spPr>
          <cat>
            <numRef>
              <f>'预期效果KPI'!$B$3:$B$10</f>
            </numRef>
          </cat>
          <val>
            <numRef>
              <f>'预期效果KPI'!$G$3:$G$10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投入产出对比（预算 vs 预估营收）</a:t>
            </a:r>
          </a:p>
        </rich>
      </tx>
    </title>
    <plotArea>
      <lineChart>
        <grouping val="standard"/>
        <ser>
          <idx val="0"/>
          <order val="0"/>
          <tx>
            <strRef>
              <f>'预期效果KPI'!B52</f>
            </strRef>
          </tx>
          <spPr>
            <a:ln xmlns:a="http://schemas.openxmlformats.org/drawingml/2006/main" w="30000">
              <a:solidFill>
                <a:srgbClr val="4A6CF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'预期效果KPI'!$B$53:$B$54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金额（万元）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四维营销效果雷达图</a:t>
            </a:r>
          </a:p>
        </rich>
      </tx>
    </title>
    <plotArea>
      <radarChart>
        <radarStyle val="filled"/>
        <ser>
          <idx val="0"/>
          <order val="0"/>
          <tx>
            <strRef>
              <f>'预期效果KPI'!B57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'预期效果KPI'!$A$58:$A$61</f>
            </numRef>
          </cat>
          <val>
            <numRef>
              <f>'预期效果KPI'!$B$58:$B$61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21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26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61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6" customWidth="1" min="3" max="3"/>
    <col width="12" customWidth="1" min="4" max="4"/>
  </cols>
  <sheetData>
    <row r="1" ht="36" customHeight="1">
      <c r="A1" s="1" t="inlineStr">
        <is>
          <t>Nike营销方案 — 预算总览</t>
        </is>
      </c>
    </row>
    <row r="2" ht="22" customHeight="1">
      <c r="A2" s="2" t="inlineStr">
        <is>
          <t>上海 单城市营销方案</t>
        </is>
      </c>
    </row>
    <row r="3" ht="28" customHeight="1">
      <c r="A3" s="3" t="inlineStr">
        <is>
          <t>序号</t>
        </is>
      </c>
      <c r="B3" s="3" t="inlineStr">
        <is>
          <t>费用项目</t>
        </is>
      </c>
      <c r="C3" s="3" t="inlineStr">
        <is>
          <t>金额(万元)</t>
        </is>
      </c>
      <c r="D3" s="3" t="inlineStr">
        <is>
          <t>占比</t>
        </is>
      </c>
    </row>
    <row r="4" ht="26" customHeight="1">
      <c r="A4" s="4" t="n">
        <v>1</v>
      </c>
      <c r="B4" s="5" t="inlineStr">
        <is>
          <t>盟域共建</t>
        </is>
      </c>
      <c r="C4" s="6" t="n">
        <v>120</v>
      </c>
      <c r="D4" s="5" t="inlineStr">
        <is>
          <t>15.0%</t>
        </is>
      </c>
    </row>
    <row r="5" ht="26" customHeight="1">
      <c r="A5" s="7" t="n">
        <v>2</v>
      </c>
      <c r="B5" s="8" t="inlineStr">
        <is>
          <t>赛事/活动</t>
        </is>
      </c>
      <c r="C5" s="9" t="n">
        <v>240</v>
      </c>
      <c r="D5" s="8" t="inlineStr">
        <is>
          <t>30.0%</t>
        </is>
      </c>
    </row>
    <row r="6" ht="26" customHeight="1">
      <c r="A6" s="4" t="n">
        <v>3</v>
      </c>
      <c r="B6" s="5" t="inlineStr">
        <is>
          <t>达人合作</t>
        </is>
      </c>
      <c r="C6" s="6" t="n">
        <v>200</v>
      </c>
      <c r="D6" s="5" t="inlineStr">
        <is>
          <t>25.0%</t>
        </is>
      </c>
    </row>
    <row r="7" ht="26" customHeight="1">
      <c r="A7" s="7" t="n">
        <v>4</v>
      </c>
      <c r="B7" s="8" t="inlineStr">
        <is>
          <t>内容运营</t>
        </is>
      </c>
      <c r="C7" s="9" t="n">
        <v>120</v>
      </c>
      <c r="D7" s="8" t="inlineStr">
        <is>
          <t>15.0%</t>
        </is>
      </c>
    </row>
    <row r="8" ht="26" customHeight="1">
      <c r="A8" s="4" t="n">
        <v>5</v>
      </c>
      <c r="B8" s="5" t="inlineStr">
        <is>
          <t>经营社联动</t>
        </is>
      </c>
      <c r="C8" s="6" t="n">
        <v>80</v>
      </c>
      <c r="D8" s="5" t="inlineStr">
        <is>
          <t>10.0%</t>
        </is>
      </c>
    </row>
    <row r="9" ht="26" customHeight="1">
      <c r="A9" s="7" t="n">
        <v>6</v>
      </c>
      <c r="B9" s="8" t="inlineStr">
        <is>
          <t>其他/预留</t>
        </is>
      </c>
      <c r="C9" s="9" t="n">
        <v>40</v>
      </c>
      <c r="D9" s="8" t="inlineStr">
        <is>
          <t>5.0%</t>
        </is>
      </c>
    </row>
    <row r="10" ht="30" customHeight="1">
      <c r="A10" s="10" t="inlineStr"/>
      <c r="B10" s="11" t="inlineStr">
        <is>
          <t>合计</t>
        </is>
      </c>
      <c r="C10" s="12" t="n">
        <v>800</v>
      </c>
      <c r="D10" s="11" t="inlineStr">
        <is>
          <t>100%</t>
        </is>
      </c>
    </row>
    <row r="12">
      <c r="A12" s="13" t="inlineStr">
        <is>
          <t>备注：标准版预算总额 800 万元，所有金额单位：万元。单城市方案，无版本对比。</t>
        </is>
      </c>
    </row>
  </sheetData>
  <mergeCells count="3">
    <mergeCell ref="A1:D1"/>
    <mergeCell ref="A12:D12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  <col width="14" customWidth="1" min="4" max="4"/>
    <col width="22" customWidth="1" min="5" max="5"/>
  </cols>
  <sheetData>
    <row r="1" ht="36" customHeight="1">
      <c r="A1" s="1" t="inlineStr">
        <is>
          <t>预算明细 — 各项费用拆分</t>
        </is>
      </c>
    </row>
    <row r="2" ht="28" customHeight="1">
      <c r="A2" s="3" t="inlineStr">
        <is>
          <t>费用大类</t>
        </is>
      </c>
      <c r="B2" s="3" t="inlineStr">
        <is>
          <t>子项明细</t>
        </is>
      </c>
      <c r="C2" s="3" t="inlineStr">
        <is>
          <t>用途说明</t>
        </is>
      </c>
      <c r="D2" s="3" t="inlineStr">
        <is>
          <t>标准版(万元)</t>
        </is>
      </c>
      <c r="E2" s="3" t="inlineStr">
        <is>
          <t>备注</t>
        </is>
      </c>
    </row>
    <row r="3" ht="24" customHeight="1">
      <c r="A3" s="14" t="inlineStr">
        <is>
          <t>盟域共建</t>
        </is>
      </c>
      <c r="B3" s="8" t="inlineStr">
        <is>
          <t>上海核心商圈快闪店</t>
        </is>
      </c>
      <c r="C3" s="8" t="inlineStr">
        <is>
          <t>在南京西路/淮海路等核心商圈搭建3个快闪体验空间，含搭建及运维</t>
        </is>
      </c>
      <c r="D3" s="9" t="n">
        <v>60</v>
      </c>
      <c r="E3" s="8" t="inlineStr">
        <is>
          <t>3个点位，每个约20万</t>
        </is>
      </c>
    </row>
    <row r="4" ht="24" customHeight="1">
      <c r="A4" s="14" t="inlineStr">
        <is>
          <t>盟域共建</t>
        </is>
      </c>
      <c r="B4" s="8" t="inlineStr">
        <is>
          <t>联名主题门店改造</t>
        </is>
      </c>
      <c r="C4" s="8" t="inlineStr">
        <is>
          <t>与5家沪上潮店合作，进行Nike联名主题氛围改造与陈列更新</t>
        </is>
      </c>
      <c r="D4" s="9" t="n">
        <v>40</v>
      </c>
      <c r="E4" s="8" t="inlineStr">
        <is>
          <t>5家门店，每家约8万</t>
        </is>
      </c>
    </row>
    <row r="5" ht="24" customHeight="1">
      <c r="A5" s="14" t="inlineStr">
        <is>
          <t>盟域共建</t>
        </is>
      </c>
      <c r="B5" s="8" t="inlineStr">
        <is>
          <t>城市运动地标打卡装置</t>
        </is>
      </c>
      <c r="C5" s="8" t="inlineStr">
        <is>
          <t>在外滩/徐汇滨江设置大型Nike运动地标装置，含审批与维护</t>
        </is>
      </c>
      <c r="D5" s="9" t="n">
        <v>20</v>
      </c>
      <c r="E5" s="8" t="inlineStr">
        <is>
          <t>2个装置，含所有费用</t>
        </is>
      </c>
    </row>
    <row r="6" ht="24" customHeight="1">
      <c r="A6" s="15" t="inlineStr">
        <is>
          <t>赛事/活动</t>
        </is>
      </c>
      <c r="B6" s="8" t="inlineStr">
        <is>
          <t>『趁现在』城市接力跑（3场）</t>
        </is>
      </c>
      <c r="C6" s="8" t="inlineStr">
        <is>
          <t>在上海世博园、世纪公园、东方体育中心举办3场主题跑步赛事</t>
        </is>
      </c>
      <c r="D6" s="9" t="n">
        <v>150</v>
      </c>
      <c r="E6" s="8" t="inlineStr">
        <is>
          <t>每场50万，含场地、物料、安保、奖金</t>
        </is>
      </c>
    </row>
    <row r="7" ht="24" customHeight="1">
      <c r="A7" s="15" t="inlineStr">
        <is>
          <t>赛事/活动</t>
        </is>
      </c>
      <c r="B7" s="8" t="inlineStr">
        <is>
          <t>街头篮球挑战赛</t>
        </is>
      </c>
      <c r="C7" s="8" t="inlineStr">
        <is>
          <t>在洛克公园等3处场地举办3v3篮球挑战赛，覆盖青少年及白领人群</t>
        </is>
      </c>
      <c r="D7" s="9" t="n">
        <v>60</v>
      </c>
      <c r="E7" s="8" t="inlineStr">
        <is>
          <t>3场，每场20万</t>
        </is>
      </c>
    </row>
    <row r="8" ht="24" customHeight="1">
      <c r="A8" s="15" t="inlineStr">
        <is>
          <t>赛事/活动</t>
        </is>
      </c>
      <c r="B8" s="8" t="inlineStr">
        <is>
          <t>明星/意见领袖见面会</t>
        </is>
      </c>
      <c r="C8" s="8" t="inlineStr">
        <is>
          <t>邀请Nike签约运动员/教练举办2场粉丝见面会及训练营</t>
        </is>
      </c>
      <c r="D8" s="9" t="n">
        <v>30</v>
      </c>
      <c r="E8" s="8" t="inlineStr">
        <is>
          <t>2场，每场15万</t>
        </is>
      </c>
    </row>
    <row r="9" ht="24" customHeight="1">
      <c r="A9" s="16" t="inlineStr">
        <is>
          <t>达人合作</t>
        </is>
      </c>
      <c r="B9" s="8" t="inlineStr">
        <is>
          <t>头部KOL深度共创（3-5位）</t>
        </is>
      </c>
      <c r="C9" s="8" t="inlineStr">
        <is>
          <t>与上海本地运动/潮流类头部KOL合作，产出3条品牌视频及社交媒体活动</t>
        </is>
      </c>
      <c r="D9" s="9" t="n">
        <v>120</v>
      </c>
      <c r="E9" s="8" t="inlineStr">
        <is>
          <t>含制作及投流</t>
        </is>
      </c>
    </row>
    <row r="10" ht="24" customHeight="1">
      <c r="A10" s="16" t="inlineStr">
        <is>
          <t>达人合作</t>
        </is>
      </c>
      <c r="B10" s="8" t="inlineStr">
        <is>
          <t>腰尾部达人铺量（20位）</t>
        </is>
      </c>
      <c r="C10" s="8" t="inlineStr">
        <is>
          <t>招募20位上海本地运动/生活类腰尾部KOC进行产品测评及多平台种草</t>
        </is>
      </c>
      <c r="D10" s="9" t="n">
        <v>60</v>
      </c>
      <c r="E10" s="8" t="inlineStr">
        <is>
          <t>每位平均3万</t>
        </is>
      </c>
    </row>
    <row r="11" ht="24" customHeight="1">
      <c r="A11" s="16" t="inlineStr">
        <is>
          <t>达人合作</t>
        </is>
      </c>
      <c r="B11" s="8" t="inlineStr">
        <is>
          <t>直播合作（5场）</t>
        </is>
      </c>
      <c r="C11" s="8" t="inlineStr">
        <is>
          <t>与5位健身/潮牌主播合作直播带货及品牌内容直播</t>
        </is>
      </c>
      <c r="D11" s="9" t="n">
        <v>20</v>
      </c>
      <c r="E11" s="8" t="inlineStr">
        <is>
          <t>5场次，每场4万</t>
        </is>
      </c>
    </row>
    <row r="12" ht="24" customHeight="1">
      <c r="A12" s="17" t="inlineStr">
        <is>
          <t>内容运营</t>
        </is>
      </c>
      <c r="B12" s="8" t="inlineStr">
        <is>
          <t>短视频拍摄制作（15条）</t>
        </is>
      </c>
      <c r="C12" s="8" t="inlineStr">
        <is>
          <t>拍摄15条Nike上海城市主题短视频，含脚本、拍摄、后期</t>
        </is>
      </c>
      <c r="D12" s="9" t="n">
        <v>60</v>
      </c>
      <c r="E12" s="8" t="inlineStr">
        <is>
          <t>每条4万</t>
        </is>
      </c>
    </row>
    <row r="13" ht="24" customHeight="1">
      <c r="A13" s="17" t="inlineStr">
        <is>
          <t>内容运营</t>
        </is>
      </c>
      <c r="B13" s="8" t="inlineStr">
        <is>
          <t>图文内容制作（30篇）</t>
        </is>
      </c>
      <c r="C13" s="8" t="inlineStr">
        <is>
          <t>制作30篇小红书/微信图文种草内容，含设计及KOL合作嵌出</t>
        </is>
      </c>
      <c r="D13" s="9" t="n">
        <v>30</v>
      </c>
      <c r="E13" s="8" t="inlineStr">
        <is>
          <t>每篇1万</t>
        </is>
      </c>
    </row>
    <row r="14" ht="24" customHeight="1">
      <c r="A14" s="17" t="inlineStr">
        <is>
          <t>内容运营</t>
        </is>
      </c>
      <c r="B14" s="8" t="inlineStr">
        <is>
          <t>官方账号运营与优化</t>
        </is>
      </c>
      <c r="C14" s="8" t="inlineStr">
        <is>
          <t>Nike上海本地官方双微一抖三个月内容规划、发布及互动维护</t>
        </is>
      </c>
      <c r="D14" s="9" t="n">
        <v>30</v>
      </c>
      <c r="E14" s="8" t="inlineStr">
        <is>
          <t>含人员及第三方工具</t>
        </is>
      </c>
    </row>
    <row r="15" ht="24" customHeight="1">
      <c r="A15" s="10" t="inlineStr">
        <is>
          <t>经营社联动</t>
        </is>
      </c>
      <c r="B15" s="8" t="inlineStr">
        <is>
          <t>门店引流活动（20场）</t>
        </is>
      </c>
      <c r="C15" s="8" t="inlineStr">
        <is>
          <t>在20家Nike上海门店举办周末小型运动体验/产品沙龙，促进UGC</t>
        </is>
      </c>
      <c r="D15" s="9" t="n">
        <v>40</v>
      </c>
      <c r="E15" s="8" t="inlineStr">
        <is>
          <t>每家门店2场次，每场1万</t>
        </is>
      </c>
    </row>
    <row r="16" ht="24" customHeight="1">
      <c r="A16" s="10" t="inlineStr">
        <is>
          <t>经营社联动</t>
        </is>
      </c>
      <c r="B16" s="8" t="inlineStr">
        <is>
          <t>会员专属社群运营</t>
        </is>
      </c>
      <c r="C16" s="8" t="inlineStr">
        <is>
          <t>维护5个Nike上海会员社群，发布专属福利、活动及积分任务</t>
        </is>
      </c>
      <c r="D16" s="9" t="n">
        <v>20</v>
      </c>
      <c r="E16" s="8" t="inlineStr">
        <is>
          <t>3个月运营费</t>
        </is>
      </c>
    </row>
    <row r="17" ht="24" customHeight="1">
      <c r="A17" s="10" t="inlineStr">
        <is>
          <t>经营社联动</t>
        </is>
      </c>
      <c r="B17" s="8" t="inlineStr">
        <is>
          <t>异业联动优惠券包</t>
        </is>
      </c>
      <c r="C17" s="8" t="inlineStr">
        <is>
          <t>与10家上海本地餐饮/健身场馆合作，提供Nike顾客专属折扣券</t>
        </is>
      </c>
      <c r="D17" s="9" t="n">
        <v>20</v>
      </c>
      <c r="E17" s="8" t="inlineStr">
        <is>
          <t>含洽谈及系统对接</t>
        </is>
      </c>
    </row>
    <row r="18" ht="24" customHeight="1">
      <c r="A18" s="16" t="inlineStr">
        <is>
          <t>其他/预留</t>
        </is>
      </c>
      <c r="B18" s="8" t="inlineStr">
        <is>
          <t>应急备用金</t>
        </is>
      </c>
      <c r="C18" s="8" t="inlineStr">
        <is>
          <t>用于活动临时追加或者突发状况</t>
        </is>
      </c>
      <c r="D18" s="9" t="n">
        <v>20</v>
      </c>
      <c r="E18" s="8" t="inlineStr"/>
    </row>
    <row r="19" ht="24" customHeight="1">
      <c r="A19" s="16" t="inlineStr">
        <is>
          <t>其他/预留</t>
        </is>
      </c>
      <c r="B19" s="8" t="inlineStr">
        <is>
          <t>数据监测与复盘</t>
        </is>
      </c>
      <c r="C19" s="8" t="inlineStr">
        <is>
          <t>用于第三方数据监测、报告制作及复盘费用</t>
        </is>
      </c>
      <c r="D19" s="9" t="n">
        <v>20</v>
      </c>
      <c r="E19" s="8" t="inlineStr"/>
    </row>
    <row r="20" ht="30" customHeight="1">
      <c r="A20" s="10" t="inlineStr">
        <is>
          <t>合计</t>
        </is>
      </c>
      <c r="B20" s="10" t="inlineStr"/>
      <c r="C20" s="10" t="inlineStr"/>
      <c r="D20" s="12" t="n">
        <v>800</v>
      </c>
      <c r="E20" s="12" t="inlineStr"/>
    </row>
    <row r="23">
      <c r="A23" s="3" t="inlineStr">
        <is>
          <t>费用大类</t>
        </is>
      </c>
      <c r="B23" s="3" t="inlineStr">
        <is>
          <t>标准版(万)</t>
        </is>
      </c>
    </row>
    <row r="24">
      <c r="A24" s="8" t="inlineStr">
        <is>
          <t>盟域共建</t>
        </is>
      </c>
      <c r="B24" s="9" t="n">
        <v>120</v>
      </c>
    </row>
    <row r="25">
      <c r="A25" s="8" t="inlineStr">
        <is>
          <t>赛事/活动</t>
        </is>
      </c>
      <c r="B25" s="9" t="n">
        <v>240</v>
      </c>
    </row>
    <row r="26">
      <c r="A26" s="8" t="inlineStr">
        <is>
          <t>达人合作</t>
        </is>
      </c>
      <c r="B26" s="9" t="n">
        <v>200</v>
      </c>
    </row>
    <row r="27">
      <c r="A27" s="8" t="inlineStr">
        <is>
          <t>内容运营</t>
        </is>
      </c>
      <c r="B27" s="9" t="n">
        <v>120</v>
      </c>
    </row>
    <row r="28">
      <c r="A28" s="8" t="inlineStr">
        <is>
          <t>经营社联动</t>
        </is>
      </c>
      <c r="B28" s="9" t="n">
        <v>80</v>
      </c>
    </row>
    <row r="29">
      <c r="A29" s="8" t="inlineStr">
        <is>
          <t>其他/预留</t>
        </is>
      </c>
      <c r="B29" s="9" t="n">
        <v>40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22" customWidth="1" min="4" max="4"/>
    <col width="48" customWidth="1" min="5" max="5"/>
    <col width="18" customWidth="1" min="6" max="6"/>
    <col width="20" customWidth="1" min="7" max="7"/>
  </cols>
  <sheetData>
    <row r="1" ht="36" customHeight="1">
      <c r="A1" s="1" t="inlineStr">
        <is>
          <t>活动流程 — 3个月执行时间线</t>
        </is>
      </c>
    </row>
    <row r="2" ht="28" customHeight="1">
      <c r="A2" s="3" t="inlineStr">
        <is>
          <t>阶段</t>
        </is>
      </c>
      <c r="B2" s="3" t="inlineStr">
        <is>
          <t>时间</t>
        </is>
      </c>
      <c r="C2" s="3" t="inlineStr">
        <is>
          <t>阶段目标</t>
        </is>
      </c>
      <c r="D2" s="3" t="inlineStr">
        <is>
          <t>核心任务</t>
        </is>
      </c>
      <c r="E2" s="3" t="inlineStr">
        <is>
          <t>具体动作</t>
        </is>
      </c>
      <c r="F2" s="3" t="inlineStr">
        <is>
          <t>负责方</t>
        </is>
      </c>
      <c r="G2" s="3" t="inlineStr">
        <is>
          <t>阶段产出</t>
        </is>
      </c>
    </row>
    <row r="3" ht="42" customHeight="1">
      <c r="A3" s="18" t="inlineStr">
        <is>
          <t>筹备期</t>
        </is>
      </c>
      <c r="B3" s="7" t="inlineStr">
        <is>
          <t>第1-2周</t>
        </is>
      </c>
      <c r="C3" s="7" t="inlineStr">
        <is>
          <t>完成所有活动执行方案审批、场地预定与物料制作确认。</t>
        </is>
      </c>
      <c r="D3" s="8" t="inlineStr">
        <is>
          <t>完成快闪店、跑步赛、篮球赛等核心活动场地确认与合同签署</t>
        </is>
      </c>
      <c r="E3" s="8" t="inlineStr">
        <is>
          <t>与南京西路、洛克公园等场地管理方对接，完成场地审批及安全备案</t>
        </is>
      </c>
      <c r="F3" s="8" t="inlineStr">
        <is>
          <t>盟域共建组</t>
        </is>
      </c>
      <c r="G3" s="8" t="inlineStr">
        <is>
          <t>场地确认函、合同扫描件</t>
        </is>
      </c>
    </row>
    <row r="4" ht="42" customHeight="1">
      <c r="A4" s="18" t="inlineStr">
        <is>
          <t>筹备期</t>
        </is>
      </c>
      <c r="B4" s="7" t="inlineStr">
        <is>
          <t>第1-2周</t>
        </is>
      </c>
      <c r="C4" s="7" t="inlineStr">
        <is>
          <t>完成所有活动执行方案审批、场地预定与物料制作确认。</t>
        </is>
      </c>
      <c r="D4" s="8" t="inlineStr">
        <is>
          <t>完成3位头部KOL及10位腰尾部达人合作意向确认及条款签订</t>
        </is>
      </c>
      <c r="E4" s="8" t="inlineStr">
        <is>
          <t>通过MCN机构及直接邀约，发送Brief并确认合作人选及排期</t>
        </is>
      </c>
      <c r="F4" s="8" t="inlineStr">
        <is>
          <t>达人合作组</t>
        </is>
      </c>
      <c r="G4" s="8" t="inlineStr">
        <is>
          <t>合作备忘录、Brief</t>
        </is>
      </c>
    </row>
    <row r="5" ht="42" customHeight="1">
      <c r="A5" s="18" t="inlineStr">
        <is>
          <t>筹备期</t>
        </is>
      </c>
      <c r="B5" s="7" t="inlineStr">
        <is>
          <t>第1-2周</t>
        </is>
      </c>
      <c r="C5" s="7" t="inlineStr">
        <is>
          <t>完成所有活动执行方案审批、场地预定与物料制作确认。</t>
        </is>
      </c>
      <c r="D5" s="8" t="inlineStr">
        <is>
          <t>完成15条短视频脚本定稿及拍摄前准备</t>
        </is>
      </c>
      <c r="E5" s="8" t="inlineStr">
        <is>
          <t>创意团队进行3轮脚本打磨，确定拍摄场地、艺人及服化道</t>
        </is>
      </c>
      <c r="F5" s="8" t="inlineStr">
        <is>
          <t>内容运营组</t>
        </is>
      </c>
      <c r="G5" s="8" t="inlineStr">
        <is>
          <t>短视频脚本、拍摄日程表</t>
        </is>
      </c>
    </row>
    <row r="6" ht="42" customHeight="1">
      <c r="A6" s="18" t="inlineStr">
        <is>
          <t>筹备期</t>
        </is>
      </c>
      <c r="B6" s="7" t="inlineStr">
        <is>
          <t>第1-2周</t>
        </is>
      </c>
      <c r="C6" s="7" t="inlineStr">
        <is>
          <t>完成所有活动执行方案审批、场地预定与物料制作确认。</t>
        </is>
      </c>
      <c r="D6" s="8" t="inlineStr">
        <is>
          <t>完成Nike官方上海双微一抖账号内容规划（前3周）</t>
        </is>
      </c>
      <c r="E6" s="8" t="inlineStr">
        <is>
          <t>制定社媒日历，准备好种草图文和互动内容素材</t>
        </is>
      </c>
      <c r="F6" s="8" t="inlineStr">
        <is>
          <t>经营社联动组</t>
        </is>
      </c>
      <c r="G6" s="8" t="inlineStr">
        <is>
          <t>内容日历、素材库</t>
        </is>
      </c>
    </row>
    <row r="7" ht="42" customHeight="1">
      <c r="A7" s="10" t="inlineStr">
        <is>
          <t>预热期</t>
        </is>
      </c>
      <c r="B7" s="7" t="inlineStr">
        <is>
          <t>第3-4周</t>
        </is>
      </c>
      <c r="C7" s="7" t="inlineStr">
        <is>
          <t>制造悬念与话题，吸引目标人群关注并有效沉淀。</t>
        </is>
      </c>
      <c r="D7" s="8" t="inlineStr">
        <is>
          <t>释放城市运动地标装置渲染图及快闪店效果图</t>
        </is>
      </c>
      <c r="E7" s="8" t="inlineStr">
        <is>
          <t>在社交平台分发悬念海报，联合KOL进行预告转发</t>
        </is>
      </c>
      <c r="F7" s="8" t="inlineStr">
        <is>
          <t>盟域共建组</t>
        </is>
      </c>
      <c r="G7" s="8" t="inlineStr">
        <is>
          <t>悬念海报、KOL转发截图</t>
        </is>
      </c>
    </row>
    <row r="8" ht="42" customHeight="1">
      <c r="A8" s="10" t="inlineStr">
        <is>
          <t>预热期</t>
        </is>
      </c>
      <c r="B8" s="7" t="inlineStr">
        <is>
          <t>第3-4周</t>
        </is>
      </c>
      <c r="C8" s="7" t="inlineStr">
        <is>
          <t>制造悬念与话题，吸引目标人群关注并有效沉淀。</t>
        </is>
      </c>
      <c r="D8" s="8" t="inlineStr">
        <is>
          <t>启动首轮腰部KOC铺量，产出20篇图文种草</t>
        </is>
      </c>
      <c r="E8" s="8" t="inlineStr">
        <is>
          <t>向20位KOC寄送产品，跟踪内容生产进度并审核</t>
        </is>
      </c>
      <c r="F8" s="8" t="inlineStr">
        <is>
          <t>达人合作组</t>
        </is>
      </c>
      <c r="G8" s="8" t="inlineStr">
        <is>
          <t>20篇小红书/微信推文</t>
        </is>
      </c>
    </row>
    <row r="9" ht="42" customHeight="1">
      <c r="A9" s="10" t="inlineStr">
        <is>
          <t>预热期</t>
        </is>
      </c>
      <c r="B9" s="7" t="inlineStr">
        <is>
          <t>第3-4周</t>
        </is>
      </c>
      <c r="C9" s="7" t="inlineStr">
        <is>
          <t>制造悬念与话题，吸引目标人群关注并有效沉淀。</t>
        </is>
      </c>
      <c r="D9" s="8" t="inlineStr">
        <is>
          <t>发布第一条头部KOL共创品牌短视频</t>
        </is>
      </c>
      <c r="E9" s="8" t="inlineStr">
        <is>
          <t>协调KOL拍摄剪辑，在抖音/B站首发，并匹配dou+推流</t>
        </is>
      </c>
      <c r="F9" s="8" t="inlineStr">
        <is>
          <t>内容运营组</t>
        </is>
      </c>
      <c r="G9" s="8" t="inlineStr">
        <is>
          <t>上线1条优质视频</t>
        </is>
      </c>
    </row>
    <row r="10" ht="42" customHeight="1">
      <c r="A10" s="10" t="inlineStr">
        <is>
          <t>预热期</t>
        </is>
      </c>
      <c r="B10" s="7" t="inlineStr">
        <is>
          <t>第3-4周</t>
        </is>
      </c>
      <c r="C10" s="7" t="inlineStr">
        <is>
          <t>制造悬念与话题，吸引目标人群关注并有效沉淀。</t>
        </is>
      </c>
      <c r="D10" s="8" t="inlineStr">
        <is>
          <t>上线报名H5页面，开启城市接力跑与街头篮球赛报名</t>
        </is>
      </c>
      <c r="E10" s="8" t="inlineStr">
        <is>
          <t>通过Nike官方小程序及合作KOL二维码渠道开放名额</t>
        </is>
      </c>
      <c r="F10" s="8" t="inlineStr">
        <is>
          <t>赛事/活动组</t>
        </is>
      </c>
      <c r="G10" s="8" t="inlineStr">
        <is>
          <t>报名页面、报名用户数据</t>
        </is>
      </c>
    </row>
    <row r="11" ht="42" customHeight="1">
      <c r="A11" s="16" t="inlineStr">
        <is>
          <t>爆发期</t>
        </is>
      </c>
      <c r="B11" s="7" t="inlineStr">
        <is>
          <t>第5-9周</t>
        </is>
      </c>
      <c r="C11" s="7" t="inlineStr">
        <is>
          <t>通过高频、高互动活动引爆声量与销量。</t>
        </is>
      </c>
      <c r="D11" s="8" t="inlineStr">
        <is>
          <t>连续举办3场城市接力跑 + 3场街头篮球挑战赛</t>
        </is>
      </c>
      <c r="E11" s="8" t="inlineStr">
        <is>
          <t>按照筹备计划执行6场活动，确保物料、安保、媒体拍摄到位</t>
        </is>
      </c>
      <c r="F11" s="8" t="inlineStr">
        <is>
          <t>赛事/活动组</t>
        </is>
      </c>
      <c r="G11" s="8" t="inlineStr">
        <is>
          <t>6场活动照片/视频、参与人次</t>
        </is>
      </c>
    </row>
    <row r="12" ht="42" customHeight="1">
      <c r="A12" s="16" t="inlineStr">
        <is>
          <t>爆发期</t>
        </is>
      </c>
      <c r="B12" s="7" t="inlineStr">
        <is>
          <t>第5-9周</t>
        </is>
      </c>
      <c r="C12" s="7" t="inlineStr">
        <is>
          <t>通过高频、高互动活动引爆声量与销量。</t>
        </is>
      </c>
      <c r="D12" s="8" t="inlineStr">
        <is>
          <t>核心商圈快闪店及联名主题门店正式营业</t>
        </is>
      </c>
      <c r="E12" s="8" t="inlineStr">
        <is>
          <t>配合活动制造线下人流，在快闪店举办小型签售/教练指导</t>
        </is>
      </c>
      <c r="F12" s="8" t="inlineStr">
        <is>
          <t>盟域共建组</t>
        </is>
      </c>
      <c r="G12" s="8" t="inlineStr">
        <is>
          <t>快闪店照片、门店销售额</t>
        </is>
      </c>
    </row>
    <row r="13" ht="42" customHeight="1">
      <c r="A13" s="16" t="inlineStr">
        <is>
          <t>爆发期</t>
        </is>
      </c>
      <c r="B13" s="7" t="inlineStr">
        <is>
          <t>第5-9周</t>
        </is>
      </c>
      <c r="C13" s="7" t="inlineStr">
        <is>
          <t>通过高频、高互动活动引爆声量与销量。</t>
        </is>
      </c>
      <c r="D13" s="8" t="inlineStr">
        <is>
          <t>头部KOL第二轮+ 5场直播带货密集上线</t>
        </is>
      </c>
      <c r="E13" s="8" t="inlineStr">
        <is>
          <t>KOL直播+达人合作内容，重点推广当季Nike跑鞋及篮球鞋</t>
        </is>
      </c>
      <c r="F13" s="8" t="inlineStr">
        <is>
          <t>达人合作组</t>
        </is>
      </c>
      <c r="G13" s="8" t="inlineStr">
        <is>
          <t>直播片段、销售数据</t>
        </is>
      </c>
    </row>
    <row r="14" ht="42" customHeight="1">
      <c r="A14" s="16" t="inlineStr">
        <is>
          <t>爆发期</t>
        </is>
      </c>
      <c r="B14" s="7" t="inlineStr">
        <is>
          <t>第5-9周</t>
        </is>
      </c>
      <c r="C14" s="7" t="inlineStr">
        <is>
          <t>通过高频、高互动活动引爆声量与销量。</t>
        </is>
      </c>
      <c r="D14" s="8" t="inlineStr">
        <is>
          <t>每周发布2-3条城市主题短视频，保持线上热度</t>
        </is>
      </c>
      <c r="E14" s="8" t="inlineStr">
        <is>
          <t>内容团队按计划产出以活动为素材的短视频，配合官方账号发布</t>
        </is>
      </c>
      <c r="F14" s="8" t="inlineStr">
        <is>
          <t>内容运营组</t>
        </is>
      </c>
      <c r="G14" s="8" t="inlineStr">
        <is>
          <t>15条短视频上线</t>
        </is>
      </c>
    </row>
    <row r="15" ht="42" customHeight="1">
      <c r="A15" s="14" t="inlineStr">
        <is>
          <t>收割期</t>
        </is>
      </c>
      <c r="B15" s="7" t="inlineStr">
        <is>
          <t>第10-12周</t>
        </is>
      </c>
      <c r="C15" s="7" t="inlineStr">
        <is>
          <t>持续收割流量，推动销售转化并沉淀品牌资产。</t>
        </is>
      </c>
      <c r="D15" s="8" t="inlineStr">
        <is>
          <t>优惠券组合及异业联动合作上线，引导到店消费</t>
        </is>
      </c>
      <c r="E15" s="8" t="inlineStr">
        <is>
          <t>与餐饮/健身店合作发放Nike专属券，引导至门店核销</t>
        </is>
      </c>
      <c r="F15" s="8" t="inlineStr">
        <is>
          <t>经营社联动组</t>
        </is>
      </c>
      <c r="G15" s="8" t="inlineStr">
        <is>
          <t>核销数据</t>
        </is>
      </c>
    </row>
    <row r="16" ht="42" customHeight="1">
      <c r="A16" s="14" t="inlineStr">
        <is>
          <t>收割期</t>
        </is>
      </c>
      <c r="B16" s="7" t="inlineStr">
        <is>
          <t>第10-12周</t>
        </is>
      </c>
      <c r="C16" s="7" t="inlineStr">
        <is>
          <t>持续收割流量，推动销售转化并沉淀品牌资产。</t>
        </is>
      </c>
      <c r="D16" s="8" t="inlineStr">
        <is>
          <t>明星/意见领袖见面会举办，强化品牌专业度</t>
        </is>
      </c>
      <c r="E16" s="8" t="inlineStr">
        <is>
          <t>邀请签约运动员进行2场线下训练营及粉丝签名会</t>
        </is>
      </c>
      <c r="F16" s="8" t="inlineStr">
        <is>
          <t>赛事/活动组</t>
        </is>
      </c>
      <c r="G16" s="8" t="inlineStr">
        <is>
          <t>线下活动参与人次</t>
        </is>
      </c>
    </row>
    <row r="17" ht="42" customHeight="1">
      <c r="A17" s="14" t="inlineStr">
        <is>
          <t>收割期</t>
        </is>
      </c>
      <c r="B17" s="7" t="inlineStr">
        <is>
          <t>第10-12周</t>
        </is>
      </c>
      <c r="C17" s="7" t="inlineStr">
        <is>
          <t>持续收割流量，推动销售转化并沉淀品牌资产。</t>
        </is>
      </c>
      <c r="D17" s="8" t="inlineStr">
        <is>
          <t>精选前几周优质UGC与PGC，进行二次传播</t>
        </is>
      </c>
      <c r="E17" s="8" t="inlineStr">
        <is>
          <t>剪辑活动高光视频，主推用户测评内容及销量战报</t>
        </is>
      </c>
      <c r="F17" s="8" t="inlineStr">
        <is>
          <t>内容运营组</t>
        </is>
      </c>
      <c r="G17" s="8" t="inlineStr">
        <is>
          <t>总结视频、长图</t>
        </is>
      </c>
    </row>
    <row r="18" ht="42" customHeight="1">
      <c r="A18" s="14" t="inlineStr">
        <is>
          <t>收割期</t>
        </is>
      </c>
      <c r="B18" s="7" t="inlineStr">
        <is>
          <t>第10-12周</t>
        </is>
      </c>
      <c r="C18" s="7" t="inlineStr">
        <is>
          <t>持续收割流量，推动销售转化并沉淀品牌资产。</t>
        </is>
      </c>
      <c r="D18" s="8" t="inlineStr">
        <is>
          <t>输出全案数据报告，复盘KPI达成情况</t>
        </is>
      </c>
      <c r="E18" s="8" t="inlineStr">
        <is>
          <t>汇总所有渠道数据，完成营销复盘报告并举办内部分享</t>
        </is>
      </c>
      <c r="F18" s="8" t="inlineStr">
        <is>
          <t>项目负责人</t>
        </is>
      </c>
      <c r="G18" s="8" t="inlineStr">
        <is>
          <t>完整复盘报告PPT</t>
        </is>
      </c>
    </row>
    <row r="22">
      <c r="A22" s="3" t="inlineStr">
        <is>
          <t>阶段</t>
        </is>
      </c>
      <c r="B22" s="3" t="inlineStr">
        <is>
          <t>起始周</t>
        </is>
      </c>
      <c r="C22" s="3" t="inlineStr">
        <is>
          <t>持续周数</t>
        </is>
      </c>
    </row>
    <row r="23">
      <c r="A23" s="7" t="inlineStr">
        <is>
          <t>筹备期</t>
        </is>
      </c>
      <c r="B23" s="7" t="n">
        <v>1</v>
      </c>
      <c r="C23" s="7" t="n">
        <v>2</v>
      </c>
    </row>
    <row r="24">
      <c r="A24" s="7" t="inlineStr">
        <is>
          <t>预热期</t>
        </is>
      </c>
      <c r="B24" s="7" t="n">
        <v>3</v>
      </c>
      <c r="C24" s="7" t="n">
        <v>2</v>
      </c>
    </row>
    <row r="25">
      <c r="A25" s="7" t="inlineStr">
        <is>
          <t>爆发期</t>
        </is>
      </c>
      <c r="B25" s="7" t="n">
        <v>5</v>
      </c>
      <c r="C25" s="7" t="n">
        <v>5</v>
      </c>
    </row>
    <row r="26">
      <c r="A26" s="7" t="inlineStr">
        <is>
          <t>收割期</t>
        </is>
      </c>
      <c r="B26" s="7" t="n">
        <v>10</v>
      </c>
      <c r="C26" s="7" t="n">
        <v>3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6" customWidth="1" min="3" max="3"/>
    <col width="18" customWidth="1" min="4" max="4"/>
    <col width="18" customWidth="1" min="5" max="5"/>
    <col width="30" customWidth="1" min="6" max="6"/>
    <col width="14" customWidth="1" min="7" max="7"/>
  </cols>
  <sheetData>
    <row r="1" ht="36" customHeight="1">
      <c r="A1" s="1" t="inlineStr">
        <is>
          <t>预期效果与 KPI — 四维指标体系</t>
        </is>
      </c>
    </row>
    <row r="2" ht="28" customHeight="1">
      <c r="A2" s="3" t="inlineStr">
        <is>
          <t>指标维度</t>
        </is>
      </c>
      <c r="B2" s="3" t="inlineStr">
        <is>
          <t>指标名称</t>
        </is>
      </c>
      <c r="C2" s="3" t="inlineStr">
        <is>
          <t>指标定义</t>
        </is>
      </c>
      <c r="D2" s="3" t="inlineStr">
        <is>
          <t>标准版目标值</t>
        </is>
      </c>
      <c r="E2" s="3" t="inlineStr">
        <is>
          <t>达成路径</t>
        </is>
      </c>
      <c r="G2" s="3" t="inlineStr">
        <is>
          <t>标准版数值</t>
        </is>
      </c>
    </row>
    <row r="3" ht="30" customHeight="1">
      <c r="A3" s="18" t="inlineStr">
        <is>
          <t>品牌传播</t>
        </is>
      </c>
      <c r="B3" s="8" t="inlineStr">
        <is>
          <t>整体曝光量（人次）</t>
        </is>
      </c>
      <c r="C3" s="8" t="inlineStr">
        <is>
          <t>线上线下总曝光人次</t>
        </is>
      </c>
      <c r="D3" s="7" t="inlineStr">
        <is>
          <t>1.5亿</t>
        </is>
      </c>
      <c r="E3" s="8" t="inlineStr">
        <is>
          <t>程序化采买+自然曝光</t>
        </is>
      </c>
      <c r="G3" s="9" t="n">
        <v>15000</v>
      </c>
    </row>
    <row r="4" ht="30" customHeight="1">
      <c r="A4" s="18" t="inlineStr">
        <is>
          <t>品牌传播</t>
        </is>
      </c>
      <c r="B4" s="8" t="inlineStr">
        <is>
          <t>社交声量（互动量）</t>
        </is>
      </c>
      <c r="C4" s="8" t="inlineStr">
        <is>
          <t>微博/抖音/小红书总互动事件数（转评赞）</t>
        </is>
      </c>
      <c r="D4" s="7" t="inlineStr">
        <is>
          <t>500万</t>
        </is>
      </c>
      <c r="E4" s="8" t="inlineStr">
        <is>
          <t>KOL+UGC</t>
        </is>
      </c>
      <c r="G4" s="9" t="n">
        <v>500</v>
      </c>
    </row>
    <row r="5" ht="30" customHeight="1">
      <c r="A5" s="18" t="inlineStr">
        <is>
          <t>品牌传播</t>
        </is>
      </c>
      <c r="B5" s="8" t="inlineStr">
        <is>
          <t>品牌搜索指数提升率</t>
        </is>
      </c>
      <c r="C5" s="8" t="inlineStr">
        <is>
          <t>百度/微信指数较活动前增长率</t>
        </is>
      </c>
      <c r="D5" s="7" t="inlineStr">
        <is>
          <t>30%</t>
        </is>
      </c>
      <c r="E5" s="8" t="inlineStr">
        <is>
          <t>内容优化+SEO</t>
        </is>
      </c>
      <c r="G5" s="9" t="n">
        <v>30</v>
      </c>
    </row>
    <row r="6" ht="30" customHeight="1">
      <c r="A6" s="18" t="inlineStr">
        <is>
          <t>品牌传播</t>
        </is>
      </c>
      <c r="B6" s="8" t="inlineStr">
        <is>
          <t>PR媒体报道数量</t>
        </is>
      </c>
      <c r="C6" s="8" t="inlineStr">
        <is>
          <t>获得主流媒体/垂媒报道篇数</t>
        </is>
      </c>
      <c r="D6" s="7" t="inlineStr">
        <is>
          <t>50篇</t>
        </is>
      </c>
      <c r="E6" s="8" t="inlineStr">
        <is>
          <t>媒体合作</t>
        </is>
      </c>
      <c r="G6" s="9" t="n">
        <v>50</v>
      </c>
    </row>
    <row r="7" ht="30" customHeight="1">
      <c r="A7" s="14" t="inlineStr">
        <is>
          <t>用户增长</t>
        </is>
      </c>
      <c r="B7" s="8" t="inlineStr">
        <is>
          <t>官方私域新增粉丝（全渠道）</t>
        </is>
      </c>
      <c r="C7" s="8" t="inlineStr">
        <is>
          <t>Nike上海区域公众号/小程序/微信社群新增粉丝数</t>
        </is>
      </c>
      <c r="D7" s="7" t="inlineStr">
        <is>
          <t>20万</t>
        </is>
      </c>
      <c r="E7" s="8" t="inlineStr">
        <is>
          <t>小程序引流+活动关注</t>
        </is>
      </c>
      <c r="G7" s="9" t="n">
        <v>200000</v>
      </c>
    </row>
    <row r="8" ht="30" customHeight="1">
      <c r="A8" s="14" t="inlineStr">
        <is>
          <t>用户增长</t>
        </is>
      </c>
      <c r="B8" s="8" t="inlineStr">
        <is>
          <t>活动参与人次</t>
        </is>
      </c>
      <c r="C8" s="8" t="inlineStr">
        <is>
          <t>线下活动（快闪、比赛、见面会）总参与人次</t>
        </is>
      </c>
      <c r="D8" s="7" t="inlineStr">
        <is>
          <t>8万</t>
        </is>
      </c>
      <c r="E8" s="8" t="inlineStr">
        <is>
          <t>活动互动</t>
        </is>
      </c>
      <c r="G8" s="9" t="n">
        <v>80000</v>
      </c>
    </row>
    <row r="9" ht="30" customHeight="1">
      <c r="A9" s="14" t="inlineStr">
        <is>
          <t>用户增长</t>
        </is>
      </c>
      <c r="B9" s="8" t="inlineStr">
        <is>
          <t>UGC内容产出量</t>
        </is>
      </c>
      <c r="C9" s="8" t="inlineStr">
        <is>
          <t>用户自发产出的图文/短视频内容量</t>
        </is>
      </c>
      <c r="D9" s="7" t="inlineStr">
        <is>
          <t>3000条</t>
        </is>
      </c>
      <c r="E9" s="8" t="inlineStr">
        <is>
          <t>激励任务</t>
        </is>
      </c>
      <c r="G9" s="9" t="n">
        <v>3000</v>
      </c>
    </row>
    <row r="10" ht="30" customHeight="1">
      <c r="A10" s="14" t="inlineStr">
        <is>
          <t>用户增长</t>
        </is>
      </c>
      <c r="B10" s="8" t="inlineStr">
        <is>
          <t>报名H5页面留资量</t>
        </is>
      </c>
      <c r="C10" s="8" t="inlineStr">
        <is>
          <t>填写报名信息的有效用户数</t>
        </is>
      </c>
      <c r="D10" s="7" t="inlineStr">
        <is>
          <t>1.5万</t>
        </is>
      </c>
      <c r="E10" s="8" t="inlineStr">
        <is>
          <t>赛事报名</t>
        </is>
      </c>
      <c r="G10" s="9" t="n">
        <v>15000</v>
      </c>
    </row>
    <row r="11" ht="30" customHeight="1">
      <c r="A11" s="16" t="inlineStr">
        <is>
          <t>销售转化</t>
        </is>
      </c>
      <c r="B11" s="8" t="inlineStr">
        <is>
          <t>线上GMV（万元）</t>
        </is>
      </c>
      <c r="C11" s="8" t="inlineStr">
        <is>
          <t>Nike天猫/京东旗舰店上海区域销售额</t>
        </is>
      </c>
      <c r="D11" s="7" t="inlineStr">
        <is>
          <t>2000</t>
        </is>
      </c>
      <c r="E11" s="8" t="inlineStr">
        <is>
          <t>直播+DTC</t>
        </is>
      </c>
      <c r="G11" s="9" t="n">
        <v>2000</v>
      </c>
    </row>
    <row r="12" ht="30" customHeight="1">
      <c r="A12" s="16" t="inlineStr">
        <is>
          <t>销售转化</t>
        </is>
      </c>
      <c r="B12" s="8" t="inlineStr">
        <is>
          <t>线下门店销售额（万元）</t>
        </is>
      </c>
      <c r="C12" s="8" t="inlineStr">
        <is>
          <t>上海区域20家核心门店活动期间总销售额</t>
        </is>
      </c>
      <c r="D12" s="7" t="inlineStr">
        <is>
          <t>1200</t>
        </is>
      </c>
      <c r="E12" s="8" t="inlineStr">
        <is>
          <t>门店引流</t>
        </is>
      </c>
      <c r="G12" s="9" t="n">
        <v>1200</v>
      </c>
    </row>
    <row r="13" ht="30" customHeight="1">
      <c r="A13" s="16" t="inlineStr">
        <is>
          <t>销售转化</t>
        </is>
      </c>
      <c r="B13" s="8" t="inlineStr">
        <is>
          <t>新客转化率</t>
        </is>
      </c>
      <c r="C13" s="8" t="inlineStr">
        <is>
          <t>新增粉丝中转化为购买用户的比例</t>
        </is>
      </c>
      <c r="D13" s="7" t="inlineStr">
        <is>
          <t>10%</t>
        </is>
      </c>
      <c r="E13" s="8" t="inlineStr">
        <is>
          <t>优惠券</t>
        </is>
      </c>
      <c r="G13" s="9" t="n">
        <v>10</v>
      </c>
    </row>
    <row r="14" ht="30" customHeight="1">
      <c r="A14" s="16" t="inlineStr">
        <is>
          <t>销售转化</t>
        </is>
      </c>
      <c r="B14" s="8" t="inlineStr">
        <is>
          <t>领券核销率</t>
        </is>
      </c>
      <c r="C14" s="8" t="inlineStr">
        <is>
          <t>发放异业联名优惠券的核销比例</t>
        </is>
      </c>
      <c r="D14" s="7" t="inlineStr">
        <is>
          <t>15%</t>
        </is>
      </c>
      <c r="E14" s="8" t="inlineStr">
        <is>
          <t>到店核销</t>
        </is>
      </c>
      <c r="G14" s="9" t="n">
        <v>15</v>
      </c>
    </row>
    <row r="15" ht="30" customHeight="1">
      <c r="A15" s="17" t="inlineStr">
        <is>
          <t>渠道建设</t>
        </is>
      </c>
      <c r="B15" s="8" t="inlineStr">
        <is>
          <t>快闪店/主题店数量</t>
        </is>
      </c>
      <c r="C15" s="8" t="inlineStr">
        <is>
          <t>合作搭建的快闪与主题门店数量</t>
        </is>
      </c>
      <c r="D15" s="7" t="inlineStr">
        <is>
          <t>8家</t>
        </is>
      </c>
      <c r="E15" s="8" t="inlineStr">
        <is>
          <t>盟域共建</t>
        </is>
      </c>
      <c r="G15" s="9" t="n">
        <v>8</v>
      </c>
    </row>
    <row r="16" ht="30" customHeight="1">
      <c r="A16" s="17" t="inlineStr">
        <is>
          <t>渠道建设</t>
        </is>
      </c>
      <c r="B16" s="8" t="inlineStr">
        <is>
          <t>异业合作门店数量</t>
        </is>
      </c>
      <c r="C16" s="8" t="inlineStr">
        <is>
          <t>达成合作的异业门店数（餐饮/健身）</t>
        </is>
      </c>
      <c r="D16" s="7" t="inlineStr">
        <is>
          <t>10家</t>
        </is>
      </c>
      <c r="E16" s="8" t="inlineStr">
        <is>
          <t>经营社联动</t>
        </is>
      </c>
      <c r="G16" s="9" t="n">
        <v>10</v>
      </c>
    </row>
    <row r="17" ht="30" customHeight="1">
      <c r="A17" s="17" t="inlineStr">
        <is>
          <t>渠道建设</t>
        </is>
      </c>
      <c r="B17" s="8" t="inlineStr">
        <is>
          <t>社交平台店铺矩阵建设</t>
        </is>
      </c>
      <c r="C17" s="8" t="inlineStr">
        <is>
          <t>在抖音/小红书/微信小程序完成店铺开设或优化</t>
        </is>
      </c>
      <c r="D17" s="7" t="inlineStr">
        <is>
          <t>3个平台</t>
        </is>
      </c>
      <c r="E17" s="8" t="inlineStr">
        <is>
          <t>内容运营</t>
        </is>
      </c>
      <c r="G17" s="9" t="n">
        <v>3</v>
      </c>
    </row>
    <row r="19" ht="28" customHeight="1">
      <c r="A19" s="18" t="inlineStr">
        <is>
          <t>ROI 投入产出分析</t>
        </is>
      </c>
    </row>
    <row r="20" ht="28" customHeight="1">
      <c r="A20" s="10" t="inlineStr">
        <is>
          <t>总投入</t>
        </is>
      </c>
      <c r="B20" s="8" t="inlineStr">
        <is>
          <t>万元</t>
        </is>
      </c>
      <c r="C20" s="8" t="inlineStr">
        <is>
          <t>活动总预算</t>
        </is>
      </c>
      <c r="D20" s="7" t="inlineStr">
        <is>
          <t>800.0</t>
        </is>
      </c>
      <c r="E20" s="8" t="inlineStr">
        <is>
          <t>标准版</t>
        </is>
      </c>
    </row>
    <row r="21" ht="28" customHeight="1">
      <c r="A21" s="10" t="inlineStr">
        <is>
          <t>预估总产出</t>
        </is>
      </c>
      <c r="B21" s="8" t="inlineStr">
        <is>
          <t>万元</t>
        </is>
      </c>
      <c r="C21" s="8" t="inlineStr">
        <is>
          <t>线上+线下GMV总和</t>
        </is>
      </c>
      <c r="D21" s="7" t="inlineStr">
        <is>
          <t>3200.0</t>
        </is>
      </c>
      <c r="E21" s="8" t="inlineStr">
        <is>
          <t>线上2000+线下1200</t>
        </is>
      </c>
    </row>
    <row r="22" ht="28" customHeight="1">
      <c r="A22" s="10" t="inlineStr">
        <is>
          <t>预估ROI</t>
        </is>
      </c>
      <c r="B22" s="8" t="inlineStr"/>
      <c r="C22" s="8" t="inlineStr">
        <is>
          <t>产出/投入</t>
        </is>
      </c>
      <c r="D22" s="7" t="inlineStr">
        <is>
          <t>4.0</t>
        </is>
      </c>
      <c r="E22" s="8" t="inlineStr">
        <is>
          <t>1:4</t>
        </is>
      </c>
    </row>
    <row r="23" ht="28" customHeight="1">
      <c r="A23" s="10" t="inlineStr">
        <is>
          <t>效率</t>
        </is>
      </c>
      <c r="B23" s="8" t="inlineStr">
        <is>
          <t>元/曝光</t>
        </is>
      </c>
      <c r="C23" s="8" t="inlineStr">
        <is>
          <t>总预算/总曝光人次（万）</t>
        </is>
      </c>
      <c r="D23" s="7" t="inlineStr">
        <is>
          <t>0.05</t>
        </is>
      </c>
      <c r="E23" s="8" t="inlineStr">
        <is>
          <t>换算后</t>
        </is>
      </c>
    </row>
    <row r="52">
      <c r="A52" s="3" t="inlineStr">
        <is>
          <t>项目</t>
        </is>
      </c>
      <c r="B52" s="3" t="inlineStr">
        <is>
          <t>标准版</t>
        </is>
      </c>
    </row>
    <row r="53">
      <c r="A53" s="8" t="inlineStr">
        <is>
          <t>总预算（万元）</t>
        </is>
      </c>
      <c r="B53" s="19" t="n">
        <v>800</v>
      </c>
    </row>
    <row r="54">
      <c r="A54" s="8" t="inlineStr">
        <is>
          <t>预估营收（万元）</t>
        </is>
      </c>
      <c r="B54" s="19" t="n">
        <v>3200</v>
      </c>
    </row>
    <row r="57">
      <c r="A57" s="3" t="inlineStr">
        <is>
          <t>维度</t>
        </is>
      </c>
      <c r="B57" s="3" t="inlineStr">
        <is>
          <t>标准版得分</t>
        </is>
      </c>
    </row>
    <row r="58">
      <c r="A58" s="8" t="inlineStr">
        <is>
          <t>品牌传播</t>
        </is>
      </c>
      <c r="B58" s="7" t="n">
        <v>90</v>
      </c>
    </row>
    <row r="59">
      <c r="A59" s="8" t="inlineStr">
        <is>
          <t>用户增长</t>
        </is>
      </c>
      <c r="B59" s="7" t="n">
        <v>85</v>
      </c>
    </row>
    <row r="60">
      <c r="A60" s="8" t="inlineStr">
        <is>
          <t>销售转化</t>
        </is>
      </c>
      <c r="B60" s="7" t="n">
        <v>80</v>
      </c>
    </row>
    <row r="61">
      <c r="A61" s="8" t="inlineStr">
        <is>
          <t>渠道建设</t>
        </is>
      </c>
      <c r="B61" s="7" t="n">
        <v>75</v>
      </c>
    </row>
  </sheetData>
  <mergeCells count="2">
    <mergeCell ref="A1:F1"/>
    <mergeCell ref="A19:E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2026-07-10T05:59:41Z</dcterms:created>
  <dcterms:modified xmlns:dcterms="http://purl.org/dc/terms/" xmlns:xsi="http://www.w3.org/2001/XMLSchema-instance" xsi:type="dcterms:W3CDTF">2026-07-10T05:59:41Z</dcterms:modified>
</cp:coreProperties>
</file>