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总览对比" sheetId="1" state="visible" r:id="rId1"/>
    <sheet xmlns:r="http://schemas.openxmlformats.org/officeDocument/2006/relationships" name="预算明细" sheetId="2" state="visible" r:id="rId2"/>
    <sheet xmlns:r="http://schemas.openxmlformats.org/officeDocument/2006/relationships" name="活动流程时间线" sheetId="3" state="visible" r:id="rId3"/>
    <sheet xmlns:r="http://schemas.openxmlformats.org/officeDocument/2006/relationships" name="预期效果K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718096"/>
      <sz val="10"/>
    </font>
    <font>
      <name val="微软雅黑"/>
      <b val="1"/>
      <color rgb="00FFFFFF"/>
      <sz val="11"/>
    </font>
    <font>
      <name val="微软雅黑"/>
      <color rgb="002D3748"/>
      <sz val="10"/>
    </font>
    <font>
      <name val="微软雅黑"/>
      <b val="1"/>
      <color rgb="001F4E79"/>
      <sz val="11"/>
    </font>
    <font>
      <name val="微软雅黑"/>
      <i val="1"/>
      <color rgb="00718096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D374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预算分配对比（上海单城市版）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'预算总览对比'!C3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'预算总览对比'!$B$4:$B$8</f>
            </numRef>
          </cat>
          <val>
            <numRef>
              <f>'预算总览对比'!$C$4:$C$8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费用项目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上海单城市版预算分配占比（20.0万）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'预算总览对比'!$B$4:$B$8</f>
            </numRef>
          </cat>
          <val>
            <numRef>
              <f>'预算总览对比'!$C$4:$C$8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各费用大类对比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'预算明细'!B23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'预算明细'!$A$24:$A$28</f>
            </numRef>
          </cat>
          <val>
            <numRef>
              <f>'预算明细'!$B$24:$B$28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活动流程甘特图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'活动流程时间线'!C22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'活动流程时间线'!$A$23:$A$26</f>
            </numRef>
          </cat>
          <val>
            <numRef>
              <f>'活动流程时间线'!$C$23:$C$26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核心 KPI 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'预期效果KPI'!G2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'预期效果KPI'!$B$3:$B$10</f>
            </numRef>
          </cat>
          <val>
            <numRef>
              <f>'预期效果KPI'!$G$3:$G$10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投入产出对比（预算 vs 预估营收）</a:t>
            </a:r>
          </a:p>
        </rich>
      </tx>
    </title>
    <plotArea>
      <lineChart>
        <grouping val="standard"/>
        <ser>
          <idx val="0"/>
          <order val="0"/>
          <tx>
            <strRef>
              <f>'预期效果KPI'!B53</f>
            </strRef>
          </tx>
          <spPr>
            <a:ln xmlns:a="http://schemas.openxmlformats.org/drawingml/2006/main" w="30000">
              <a:solidFill>
                <a:srgbClr val="4A6CF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'预期效果KPI'!$B$54:$B$55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四维营销效果雷达图</a:t>
            </a:r>
          </a:p>
        </rich>
      </tx>
    </title>
    <plotArea>
      <radarChart>
        <radarStyle val="filled"/>
        <ser>
          <idx val="0"/>
          <order val="0"/>
          <tx>
            <strRef>
              <f>'预期效果KPI'!B58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'预期效果KPI'!$A$59:$A$62</f>
            </numRef>
          </cat>
          <val>
            <numRef>
              <f>'预期效果KPI'!$B$59:$B$62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21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27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27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62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20" customWidth="1" min="5" max="5"/>
  </cols>
  <sheetData>
    <row r="1" ht="36" customHeight="1">
      <c r="A1" s="1" t="inlineStr">
        <is>
          <t>户外装备品牌营销方案 — 预算总览对比</t>
        </is>
      </c>
    </row>
    <row r="2" ht="22" customHeight="1">
      <c r="A2" s="2" t="inlineStr">
        <is>
          <t>轻量出行，探索无界</t>
        </is>
      </c>
    </row>
    <row r="3" ht="28" customHeight="1">
      <c r="A3" s="3" t="inlineStr">
        <is>
          <t>序号</t>
        </is>
      </c>
      <c r="B3" s="3" t="inlineStr">
        <is>
          <t>费用项目</t>
        </is>
      </c>
      <c r="C3" s="3" t="inlineStr">
        <is>
          <t>上海单城市版金额(万元)</t>
        </is>
      </c>
      <c r="D3" s="3" t="inlineStr">
        <is>
          <t>上海单城市版占比</t>
        </is>
      </c>
      <c r="E3" s="3" t="inlineStr">
        <is>
          <t>差异说明</t>
        </is>
      </c>
    </row>
    <row r="4" ht="26" customHeight="1">
      <c r="A4" s="4" t="n">
        <v>1</v>
      </c>
      <c r="B4" s="5" t="inlineStr">
        <is>
          <t>达人合作</t>
        </is>
      </c>
      <c r="C4" s="6" t="n">
        <v>7</v>
      </c>
      <c r="D4" s="4" t="inlineStr">
        <is>
          <t>35%</t>
        </is>
      </c>
      <c r="E4" s="7" t="n"/>
      <c r="F4" s="4" t="n"/>
      <c r="G4" s="4" t="inlineStr">
        <is>
          <t>用于分层合作30位达人（头部2位+腰部8位+尾部20位），覆盖小红书/抖音/得物平台</t>
        </is>
      </c>
    </row>
    <row r="5" ht="26" customHeight="1">
      <c r="A5" s="8" t="n">
        <v>2</v>
      </c>
      <c r="B5" s="9" t="inlineStr">
        <is>
          <t>活动执行</t>
        </is>
      </c>
      <c r="C5" s="10" t="n">
        <v>5</v>
      </c>
      <c r="D5" s="8" t="inlineStr">
        <is>
          <t>25%</t>
        </is>
      </c>
      <c r="E5" s="11" t="n"/>
      <c r="F5" s="8" t="n"/>
      <c r="G5" s="8" t="inlineStr">
        <is>
          <t>包含2场赛事（城市夜跑、周末骑行挑战）及2场周末轻野营活动的场地、物料、奖品</t>
        </is>
      </c>
    </row>
    <row r="6" ht="26" customHeight="1">
      <c r="A6" s="4" t="n">
        <v>3</v>
      </c>
      <c r="B6" s="5" t="inlineStr">
        <is>
          <t>内容制作</t>
        </is>
      </c>
      <c r="C6" s="6" t="n">
        <v>4</v>
      </c>
      <c r="D6" s="4" t="inlineStr">
        <is>
          <t>20%</t>
        </is>
      </c>
      <c r="E6" s="7" t="n"/>
      <c r="F6" s="4" t="n"/>
      <c r="G6" s="4" t="inlineStr">
        <is>
          <t>实验验证型短视频、新手路线图文、话题挑战运营素材</t>
        </is>
      </c>
    </row>
    <row r="7" ht="26" customHeight="1">
      <c r="A7" s="8" t="n">
        <v>4</v>
      </c>
      <c r="B7" s="9" t="inlineStr">
        <is>
          <t>平台投放</t>
        </is>
      </c>
      <c r="C7" s="10" t="n">
        <v>3</v>
      </c>
      <c r="D7" s="8" t="inlineStr">
        <is>
          <t>15%</t>
        </is>
      </c>
      <c r="E7" s="11" t="n"/>
      <c r="F7" s="8" t="n"/>
      <c r="G7" s="8" t="inlineStr">
        <is>
          <t>小红书信息流广告+抖音Dou+精准投放，目标ROI&gt;3</t>
        </is>
      </c>
    </row>
    <row r="8" ht="26" customHeight="1">
      <c r="A8" s="4" t="n">
        <v>5</v>
      </c>
      <c r="B8" s="5" t="inlineStr">
        <is>
          <t>门店联动</t>
        </is>
      </c>
      <c r="C8" s="6" t="n">
        <v>1</v>
      </c>
      <c r="D8" s="4" t="inlineStr">
        <is>
          <t>5%</t>
        </is>
      </c>
      <c r="E8" s="7" t="n"/>
      <c r="F8" s="4" t="n"/>
      <c r="G8" s="4" t="inlineStr">
        <is>
          <t>周末装备体验日物料、陈列升级及社群互动奖品</t>
        </is>
      </c>
    </row>
    <row r="9" ht="30" customHeight="1">
      <c r="A9" s="12" t="inlineStr"/>
      <c r="B9" s="13" t="inlineStr">
        <is>
          <t>合计</t>
        </is>
      </c>
      <c r="C9" s="14" t="n">
        <v>20</v>
      </c>
      <c r="D9" s="12" t="inlineStr">
        <is>
          <t>100%</t>
        </is>
      </c>
      <c r="E9" s="15" t="inlineStr"/>
    </row>
    <row r="11">
      <c r="A11" s="16" t="inlineStr">
        <is>
          <t>备注：单城市（上海）执行方案，无多城市对比版本</t>
        </is>
      </c>
    </row>
  </sheetData>
  <mergeCells count="3">
    <mergeCell ref="A11:G11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40" customWidth="1" min="3" max="3"/>
    <col width="14" customWidth="1" min="4" max="4"/>
    <col width="22" customWidth="1" min="5" max="5"/>
  </cols>
  <sheetData>
    <row r="1" ht="36" customHeight="1">
      <c r="A1" s="1" t="inlineStr">
        <is>
          <t>预算明细 — 各项费用拆分</t>
        </is>
      </c>
    </row>
    <row r="2" ht="28" customHeight="1">
      <c r="A2" s="3" t="inlineStr">
        <is>
          <t>费用大类</t>
        </is>
      </c>
      <c r="B2" s="3" t="inlineStr">
        <is>
          <t>子项明细</t>
        </is>
      </c>
      <c r="C2" s="3" t="inlineStr">
        <is>
          <t>用途说明</t>
        </is>
      </c>
      <c r="D2" s="3" t="inlineStr">
        <is>
          <t>上海单城市版(万元)</t>
        </is>
      </c>
      <c r="E2" s="3" t="inlineStr">
        <is>
          <t>备注</t>
        </is>
      </c>
    </row>
    <row r="3" ht="24" customHeight="1">
      <c r="A3" s="17" t="inlineStr">
        <is>
          <t>达人合作</t>
        </is>
      </c>
      <c r="B3" s="9" t="inlineStr">
        <is>
          <t>头部达人品牌TVC+直播</t>
        </is>
      </c>
      <c r="C3" s="9" t="inlineStr">
        <is>
          <t>2位百万粉KOL（上海本地生活类或户外顶流），单条视频+直播联动，引爆话题</t>
        </is>
      </c>
      <c r="D3" s="10" t="n">
        <v>3.5</v>
      </c>
      <c r="E3" s="9" t="inlineStr">
        <is>
          <t>单条报价约1.75万/位</t>
        </is>
      </c>
    </row>
    <row r="4" ht="24" customHeight="1">
      <c r="A4" s="17" t="inlineStr">
        <is>
          <t>达人合作</t>
        </is>
      </c>
      <c r="B4" s="9" t="inlineStr">
        <is>
          <t>腰部达人深度测评合作</t>
        </is>
      </c>
      <c r="C4" s="9" t="inlineStr">
        <is>
          <t>8位10-50万粉本地户外KOL（从沪跑团、魔都骑行社挖掘），提供装备体验+专业内容产出</t>
        </is>
      </c>
      <c r="D4" s="10" t="n">
        <v>2.4</v>
      </c>
      <c r="E4" s="9" t="inlineStr">
        <is>
          <t>单条约3000元</t>
        </is>
      </c>
    </row>
    <row r="5" ht="24" customHeight="1">
      <c r="A5" s="17" t="inlineStr">
        <is>
          <t>达人合作</t>
        </is>
      </c>
      <c r="B5" s="9" t="inlineStr">
        <is>
          <t>尾部达人海量种草</t>
        </is>
      </c>
      <c r="C5" s="9" t="inlineStr">
        <is>
          <t>20位1-10万粉达人UGC内容共创，铺量小红书/抖音笔记，带话题#我的第一件户外装备#</t>
        </is>
      </c>
      <c r="D5" s="10" t="n">
        <v>1.1</v>
      </c>
      <c r="E5" s="9" t="inlineStr">
        <is>
          <t>单条成本约550元</t>
        </is>
      </c>
    </row>
    <row r="6" ht="24" customHeight="1">
      <c r="A6" s="18" t="inlineStr">
        <is>
          <t>活动执行</t>
        </is>
      </c>
      <c r="B6" s="9" t="inlineStr">
        <is>
          <t>城市夜跑（5公里）</t>
        </is>
      </c>
      <c r="C6" s="9" t="inlineStr">
        <is>
          <t>上海世纪公园/滨江步道，100人规模，含灯光指引、计时器、服装、补给等物料</t>
        </is>
      </c>
      <c r="D6" s="10" t="n">
        <v>1.8</v>
      </c>
      <c r="E6" s="9" t="inlineStr">
        <is>
          <t>场地租金+物料制作</t>
        </is>
      </c>
    </row>
    <row r="7" ht="24" customHeight="1">
      <c r="A7" s="18" t="inlineStr">
        <is>
          <t>活动执行</t>
        </is>
      </c>
      <c r="B7" s="9" t="inlineStr">
        <is>
          <t>周末骑行挑战</t>
        </is>
      </c>
      <c r="C7" s="9" t="inlineStr">
        <is>
          <t>滴水湖环湖骑行，预计80人，含租车、领骑、安全装备、补给、纪念奖牌</t>
        </is>
      </c>
      <c r="D7" s="10" t="n">
        <v>1.5</v>
      </c>
      <c r="E7" s="9" t="inlineStr">
        <is>
          <t>奖品采购+保障人员</t>
        </is>
      </c>
    </row>
    <row r="8" ht="24" customHeight="1">
      <c r="A8" s="18" t="inlineStr">
        <is>
          <t>活动执行</t>
        </is>
      </c>
      <c r="B8" s="9" t="inlineStr">
        <is>
          <t>周末轻野营（2场）</t>
        </is>
      </c>
      <c r="C8" s="9" t="inlineStr">
        <is>
          <t>佘山森林公园/世纪公园，每月1场，含帐篷天幕搭建、装备试用、露营指导、抽奖</t>
        </is>
      </c>
      <c r="D8" s="10" t="n">
        <v>1.2</v>
      </c>
      <c r="E8" s="9" t="inlineStr">
        <is>
          <t>每场6000元，含物料与运营</t>
        </is>
      </c>
    </row>
    <row r="9" ht="24" customHeight="1">
      <c r="A9" s="18" t="inlineStr">
        <is>
          <t>活动执行</t>
        </is>
      </c>
      <c r="B9" s="9" t="inlineStr">
        <is>
          <t>赛事应急与杂费</t>
        </is>
      </c>
      <c r="C9" s="9" t="inlineStr">
        <is>
          <t>活动保险、临时人员、运输费、宣传品打印</t>
        </is>
      </c>
      <c r="D9" s="10" t="n">
        <v>0.5</v>
      </c>
      <c r="E9" s="9" t="inlineStr">
        <is>
          <t>按10%留备用金</t>
        </is>
      </c>
    </row>
    <row r="10" ht="24" customHeight="1">
      <c r="A10" s="19" t="inlineStr">
        <is>
          <t>内容制作</t>
        </is>
      </c>
      <c r="B10" s="9" t="inlineStr">
        <is>
          <t>「减负30%」实测短视频</t>
        </is>
      </c>
      <c r="C10" s="9" t="inlineStr">
        <is>
          <t>佘山/滨江步道实拍对比（背包、鞋履），含测试演绎与解说</t>
        </is>
      </c>
      <c r="D10" s="10" t="n">
        <v>1.5</v>
      </c>
      <c r="E10" s="9" t="inlineStr">
        <is>
          <t>含拍摄、后期、演员</t>
        </is>
      </c>
    </row>
    <row r="11" ht="24" customHeight="1">
      <c r="A11" s="19" t="inlineStr">
        <is>
          <t>内容制作</t>
        </is>
      </c>
      <c r="B11" s="9" t="inlineStr">
        <is>
          <t>新手周末路线图文/视频</t>
        </is>
      </c>
      <c r="C11" s="9" t="inlineStr">
        <is>
          <t>制作5条1小时地铁可达的轻量路线（如滨江-前滩-世纪公园）</t>
        </is>
      </c>
      <c r="D11" s="10" t="n">
        <v>1</v>
      </c>
      <c r="E11" s="9" t="inlineStr">
        <is>
          <t>含手绘地图、实拍图、音乐</t>
        </is>
      </c>
    </row>
    <row r="12" ht="24" customHeight="1">
      <c r="A12" s="19" t="inlineStr">
        <is>
          <t>内容制作</t>
        </is>
      </c>
      <c r="B12" s="9" t="inlineStr">
        <is>
          <t>话题挑战运营素材</t>
        </is>
      </c>
      <c r="C12" s="9" t="inlineStr">
        <is>
          <t>#我的第一件户外装备#话题主视觉、贴纸、模板文案、互动H5</t>
        </is>
      </c>
      <c r="D12" s="10" t="n">
        <v>0.8</v>
      </c>
      <c r="E12" s="9" t="inlineStr">
        <is>
          <t>设计+技术开发</t>
        </is>
      </c>
    </row>
    <row r="13" ht="24" customHeight="1">
      <c r="A13" s="19" t="inlineStr">
        <is>
          <t>内容制作</t>
        </is>
      </c>
      <c r="B13" s="9" t="inlineStr">
        <is>
          <t>动态海报与朋友圈物料</t>
        </is>
      </c>
      <c r="C13" s="9" t="inlineStr">
        <is>
          <t>活动预热/爆发期各阶段A/B海报，门店电子屏内容</t>
        </is>
      </c>
      <c r="D13" s="10" t="n">
        <v>0.7</v>
      </c>
      <c r="E13" s="9" t="inlineStr">
        <is>
          <t>3-4套设计</t>
        </is>
      </c>
    </row>
    <row r="14" ht="24" customHeight="1">
      <c r="A14" s="20" t="inlineStr">
        <is>
          <t>平台投放</t>
        </is>
      </c>
      <c r="B14" s="9" t="inlineStr">
        <is>
          <t>小红书信息流广告</t>
        </is>
      </c>
      <c r="C14" s="9" t="inlineStr">
        <is>
          <t>定向上海18-35岁白领/户外兴趣人群，配合轻野营/路线内容</t>
        </is>
      </c>
      <c r="D14" s="10" t="n">
        <v>1.5</v>
      </c>
      <c r="E14" s="9" t="inlineStr">
        <is>
          <t>目标CPM&lt;30元</t>
        </is>
      </c>
    </row>
    <row r="15" ht="24" customHeight="1">
      <c r="A15" s="20" t="inlineStr">
        <is>
          <t>平台投放</t>
        </is>
      </c>
      <c r="B15" s="9" t="inlineStr">
        <is>
          <t>抖音Dou+精准投放</t>
        </is>
      </c>
      <c r="C15" s="9" t="inlineStr">
        <is>
          <t>对头部/腰部达人爆款内容加推，放大曝光</t>
        </is>
      </c>
      <c r="D15" s="10" t="n">
        <v>1</v>
      </c>
      <c r="E15" s="9" t="inlineStr">
        <is>
          <t>测试5-10条内容</t>
        </is>
      </c>
    </row>
    <row r="16" ht="24" customHeight="1">
      <c r="A16" s="20" t="inlineStr">
        <is>
          <t>平台投放</t>
        </is>
      </c>
      <c r="B16" s="9" t="inlineStr">
        <is>
          <t>搜索竞价与信息流补量</t>
        </is>
      </c>
      <c r="C16" s="9" t="inlineStr">
        <is>
          <t>品牌词、品类词（轻量徒步鞋、城市露营）长尾投放</t>
        </is>
      </c>
      <c r="D16" s="10" t="n">
        <v>0.5</v>
      </c>
      <c r="E16" s="9" t="inlineStr">
        <is>
          <t>按CPA模型优化</t>
        </is>
      </c>
    </row>
    <row r="17" ht="24" customHeight="1">
      <c r="A17" s="12" t="inlineStr">
        <is>
          <t>门店联动</t>
        </is>
      </c>
      <c r="B17" s="9" t="inlineStr">
        <is>
          <t>周末装备体验日物料</t>
        </is>
      </c>
      <c r="C17" s="9" t="inlineStr">
        <is>
          <t>3家上海门店的体验装备、互动道具、拍照打卡墙</t>
        </is>
      </c>
      <c r="D17" s="10" t="n">
        <v>0.5</v>
      </c>
      <c r="E17" s="9" t="inlineStr">
        <is>
          <t>每家约1600元</t>
        </is>
      </c>
    </row>
    <row r="18" ht="24" customHeight="1">
      <c r="A18" s="12" t="inlineStr">
        <is>
          <t>门店联动</t>
        </is>
      </c>
      <c r="B18" s="9" t="inlineStr">
        <is>
          <t>社群互动奖品</t>
        </is>
      </c>
      <c r="C18" s="9" t="inlineStr">
        <is>
          <t>线上社群抽奖（装备券、周边杯、头巾）及到店伴手礼</t>
        </is>
      </c>
      <c r="D18" s="10" t="n">
        <v>0.3</v>
      </c>
      <c r="E18" s="9" t="inlineStr">
        <is>
          <t>含设计采购</t>
        </is>
      </c>
    </row>
    <row r="19" ht="24" customHeight="1">
      <c r="A19" s="12" t="inlineStr">
        <is>
          <t>门店联动</t>
        </is>
      </c>
      <c r="B19" s="9" t="inlineStr">
        <is>
          <t>陈列升级与店员培训</t>
        </is>
      </c>
      <c r="C19" s="9" t="inlineStr">
        <is>
          <t>门店主推区改造，店员话术及装备试用引导训练</t>
        </is>
      </c>
      <c r="D19" s="10" t="n">
        <v>0.2</v>
      </c>
      <c r="E19" s="9" t="inlineStr">
        <is>
          <t>一次性投入</t>
        </is>
      </c>
    </row>
    <row r="20" ht="30" customHeight="1">
      <c r="A20" s="12" t="inlineStr">
        <is>
          <t>合计</t>
        </is>
      </c>
      <c r="B20" s="12" t="inlineStr"/>
      <c r="C20" s="12" t="inlineStr"/>
      <c r="D20" s="14" t="n">
        <v>20</v>
      </c>
      <c r="E20" s="14" t="inlineStr"/>
    </row>
    <row r="23">
      <c r="A23" s="3" t="inlineStr">
        <is>
          <t>费用大类</t>
        </is>
      </c>
      <c r="B23" s="3" t="inlineStr">
        <is>
          <t>上海单城市版(万)</t>
        </is>
      </c>
    </row>
    <row r="24">
      <c r="A24" s="9" t="inlineStr">
        <is>
          <t>达人合作</t>
        </is>
      </c>
      <c r="B24" s="10" t="n">
        <v>7</v>
      </c>
    </row>
    <row r="25">
      <c r="A25" s="9" t="inlineStr">
        <is>
          <t>活动执行</t>
        </is>
      </c>
      <c r="B25" s="10" t="n">
        <v>5</v>
      </c>
    </row>
    <row r="26">
      <c r="A26" s="9" t="inlineStr">
        <is>
          <t>内容制作</t>
        </is>
      </c>
      <c r="B26" s="10" t="n">
        <v>4</v>
      </c>
    </row>
    <row r="27">
      <c r="A27" s="9" t="inlineStr">
        <is>
          <t>平台投放</t>
        </is>
      </c>
      <c r="B27" s="10" t="n">
        <v>3</v>
      </c>
    </row>
    <row r="28">
      <c r="A28" s="9" t="inlineStr">
        <is>
          <t>门店联动</t>
        </is>
      </c>
      <c r="B28" s="10" t="n">
        <v>1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2" customWidth="1" min="4" max="4"/>
    <col width="48" customWidth="1" min="5" max="5"/>
    <col width="18" customWidth="1" min="6" max="6"/>
    <col width="20" customWidth="1" min="7" max="7"/>
  </cols>
  <sheetData>
    <row r="1" ht="36" customHeight="1">
      <c r="A1" s="1" t="inlineStr">
        <is>
          <t>活动流程 — 1个月执行时间线</t>
        </is>
      </c>
    </row>
    <row r="2" ht="28" customHeight="1">
      <c r="A2" s="3" t="inlineStr">
        <is>
          <t>阶段</t>
        </is>
      </c>
      <c r="B2" s="3" t="inlineStr">
        <is>
          <t>时间</t>
        </is>
      </c>
      <c r="C2" s="3" t="inlineStr">
        <is>
          <t>阶段目标</t>
        </is>
      </c>
      <c r="D2" s="3" t="inlineStr">
        <is>
          <t>核心任务</t>
        </is>
      </c>
      <c r="E2" s="3" t="inlineStr">
        <is>
          <t>具体动作</t>
        </is>
      </c>
      <c r="F2" s="3" t="inlineStr">
        <is>
          <t>负责方</t>
        </is>
      </c>
      <c r="G2" s="3" t="inlineStr">
        <is>
          <t>阶段产出</t>
        </is>
      </c>
    </row>
    <row r="3" ht="42" customHeight="1">
      <c r="A3" s="21" t="inlineStr">
        <is>
          <t>筹备期（第1周）</t>
        </is>
      </c>
      <c r="B3" s="8" t="inlineStr">
        <is>
          <t>第1周</t>
        </is>
      </c>
      <c r="C3" s="8" t="inlineStr">
        <is>
          <t>完成资源锁定与内容方向确认</t>
        </is>
      </c>
      <c r="D3" s="9" t="inlineStr">
        <is>
          <t>完成30位达人签约与内容方向确认，发布首批种草内容（短视频+图文）</t>
        </is>
      </c>
      <c r="E3" s="9" t="inlineStr">
        <is>
          <t>媒介部对接达人，内容部产出路线指南与测款脚本</t>
        </is>
      </c>
      <c r="F3" s="9" t="inlineStr">
        <is>
          <t>媒介部/内容部</t>
        </is>
      </c>
      <c r="G3" s="9" t="inlineStr">
        <is>
          <t>达人签约表+首批3条内容上线</t>
        </is>
      </c>
    </row>
    <row r="4" ht="42" customHeight="1">
      <c r="A4" s="21" t="inlineStr">
        <is>
          <t>筹备期（第1周）</t>
        </is>
      </c>
      <c r="B4" s="8" t="inlineStr">
        <is>
          <t>第1周</t>
        </is>
      </c>
      <c r="C4" s="8" t="inlineStr">
        <is>
          <t>话题挑战上线</t>
        </is>
      </c>
      <c r="D4" s="9" t="inlineStr">
        <is>
          <t>在抖音/小红书同步启动#我的第一件户外装备#话题挑战，发布官方主视觉与活动规则</t>
        </is>
      </c>
      <c r="E4" s="9" t="inlineStr">
        <is>
          <t>设计组出图，运营组发布，利用KOL预热</t>
        </is>
      </c>
      <c r="F4" s="9" t="inlineStr">
        <is>
          <t>运营组</t>
        </is>
      </c>
      <c r="G4" s="9" t="inlineStr">
        <is>
          <t>话题页上线+互动模板</t>
        </is>
      </c>
    </row>
    <row r="5" ht="42" customHeight="1">
      <c r="A5" s="21" t="inlineStr">
        <is>
          <t>筹备期（第1周）</t>
        </is>
      </c>
      <c r="B5" s="8" t="inlineStr">
        <is>
          <t>第1周</t>
        </is>
      </c>
      <c r="C5" s="8" t="inlineStr">
        <is>
          <t>社群预热</t>
        </is>
      </c>
      <c r="D5" s="9" t="inlineStr">
        <is>
          <t>在上海本地户外社群（沪跑团、魔都露营群）发布活动预告，开放轻野营/夜跑报名</t>
        </is>
      </c>
      <c r="E5" s="9" t="inlineStr">
        <is>
          <t>社群运营配合活动组发布报名链接</t>
        </is>
      </c>
      <c r="F5" s="9" t="inlineStr">
        <is>
          <t>社群运营</t>
        </is>
      </c>
      <c r="G5" s="9" t="inlineStr">
        <is>
          <t>社群活动预告+报名表单</t>
        </is>
      </c>
    </row>
    <row r="6" ht="42" customHeight="1">
      <c r="A6" s="21" t="inlineStr">
        <is>
          <t>筹备期（第1周）</t>
        </is>
      </c>
      <c r="B6" s="8" t="inlineStr">
        <is>
          <t>第1周</t>
        </is>
      </c>
      <c r="C6" s="8" t="inlineStr">
        <is>
          <t>门店物料到店</t>
        </is>
      </c>
      <c r="D6" s="9" t="inlineStr">
        <is>
          <t>3家门店完成「周末装备体验日」陈列升级，培训店员装备试用引导话术</t>
        </is>
      </c>
      <c r="E6" s="9" t="inlineStr">
        <is>
          <t>门店督导巡检，培训师现场指导</t>
        </is>
      </c>
      <c r="F6" s="9" t="inlineStr">
        <is>
          <t>门店部</t>
        </is>
      </c>
      <c r="G6" s="9" t="inlineStr">
        <is>
          <t>门店照片+培训记录</t>
        </is>
      </c>
    </row>
    <row r="7" ht="42" customHeight="1">
      <c r="A7" s="21" t="inlineStr">
        <is>
          <t>预热期（第2周）</t>
        </is>
      </c>
      <c r="B7" s="8" t="inlineStr">
        <is>
          <t>第2周</t>
        </is>
      </c>
      <c r="C7" s="8" t="inlineStr">
        <is>
          <t>首场活动落地</t>
        </is>
      </c>
      <c r="D7" s="9" t="inlineStr">
        <is>
          <t>在上海世纪公园举办「周末轻野营」活动（第1场），现场提供背包/鞋/天幕试用</t>
        </is>
      </c>
      <c r="E7" s="9" t="inlineStr">
        <is>
          <t>活动组布置场地，KOL到场体验并发布内容</t>
        </is>
      </c>
      <c r="F7" s="9" t="inlineStr">
        <is>
          <t>活动组/达人组</t>
        </is>
      </c>
      <c r="G7" s="9" t="inlineStr">
        <is>
          <t>活动现场视频+用户UGC</t>
        </is>
      </c>
    </row>
    <row r="8" ht="42" customHeight="1">
      <c r="A8" s="21" t="inlineStr">
        <is>
          <t>预热期（第2周）</t>
        </is>
      </c>
      <c r="B8" s="8" t="inlineStr">
        <is>
          <t>第2周</t>
        </is>
      </c>
      <c r="C8" s="8" t="inlineStr">
        <is>
          <t>达⼈内容引爆</t>
        </is>
      </c>
      <c r="D8" s="9" t="inlineStr">
        <is>
          <t>头部达人品牌TVC及测评视频集中上线，配合Dou+精准投放</t>
        </is>
      </c>
      <c r="E8" s="9" t="inlineStr">
        <is>
          <t>媒介协调上线时间，投放组跟进投流</t>
        </is>
      </c>
      <c r="F8" s="9" t="inlineStr">
        <is>
          <t>媒介/投放组</t>
        </is>
      </c>
      <c r="G8" s="9" t="inlineStr">
        <is>
          <t>头部2条视频曝光量&gt;50万</t>
        </is>
      </c>
    </row>
    <row r="9" ht="42" customHeight="1">
      <c r="A9" s="21" t="inlineStr">
        <is>
          <t>预热期（第2周）</t>
        </is>
      </c>
      <c r="B9" s="8" t="inlineStr">
        <is>
          <t>第2周</t>
        </is>
      </c>
      <c r="C9" s="8" t="inlineStr">
        <is>
          <t>城市夜跑赛事</t>
        </is>
      </c>
      <c r="D9" s="9" t="inlineStr">
        <is>
          <t>举办「城市夜跑」5公里赛事（滨江步道），约100人，使用品牌速干衣/跑鞋试穿</t>
        </is>
      </c>
      <c r="E9" s="9" t="inlineStr">
        <is>
          <t>活动组执行，志愿者引导，拍照记录</t>
        </is>
      </c>
      <c r="F9" s="9" t="inlineStr">
        <is>
          <t>活动组</t>
        </is>
      </c>
      <c r="G9" s="9" t="inlineStr">
        <is>
          <t>赛事照片+选手体验反馈</t>
        </is>
      </c>
    </row>
    <row r="10" ht="42" customHeight="1">
      <c r="A10" s="21" t="inlineStr">
        <is>
          <t>预热期（第2周）</t>
        </is>
      </c>
      <c r="B10" s="8" t="inlineStr">
        <is>
          <t>第2周</t>
        </is>
      </c>
      <c r="C10" s="8" t="inlineStr">
        <is>
          <t>线上话题发酵</t>
        </is>
      </c>
      <c r="D10" s="9" t="inlineStr">
        <is>
          <t>达人发布首周测评内容，引导粉丝参与#我的第一件户外装备#话题，抽奖互动</t>
        </is>
      </c>
      <c r="E10" s="9" t="inlineStr">
        <is>
          <t>运营组监测话题互动量，及时回复</t>
        </is>
      </c>
      <c r="F10" s="9" t="inlineStr">
        <is>
          <t>运营组</t>
        </is>
      </c>
      <c r="G10" s="9" t="inlineStr">
        <is>
          <t>话题参与数&gt;500条</t>
        </is>
      </c>
    </row>
    <row r="11" ht="42" customHeight="1">
      <c r="A11" s="21" t="inlineStr">
        <is>
          <t>爆发期（第3周）</t>
        </is>
      </c>
      <c r="B11" s="8" t="inlineStr">
        <is>
          <t>第3周</t>
        </is>
      </c>
      <c r="C11" s="8" t="inlineStr">
        <is>
          <t>骑行赛事</t>
        </is>
      </c>
      <c r="D11" s="9" t="inlineStr">
        <is>
          <t>在滴水湖举办「周末骑行挑战」赛事（约80人），品牌骑行服饰/水壶试用</t>
        </is>
      </c>
      <c r="E11" s="9" t="inlineStr">
        <is>
          <t>活动组执行，保障安全，设置拍照打卡点</t>
        </is>
      </c>
      <c r="F11" s="9" t="inlineStr">
        <is>
          <t>活动组</t>
        </is>
      </c>
      <c r="G11" s="9" t="inlineStr">
        <is>
          <t>赛事Vlog+排行榜</t>
        </is>
      </c>
    </row>
    <row r="12" ht="42" customHeight="1">
      <c r="A12" s="21" t="inlineStr">
        <is>
          <t>爆发期（第3周）</t>
        </is>
      </c>
      <c r="B12" s="8" t="inlineStr">
        <is>
          <t>第3周</t>
        </is>
      </c>
      <c r="C12" s="8" t="inlineStr">
        <is>
          <t>内容矩阵爆发</t>
        </is>
      </c>
      <c r="D12" s="9" t="inlineStr">
        <is>
          <t>「减负30%实测」系列+「新手周末路线」图文/视频持续上线，分批次推送</t>
        </is>
      </c>
      <c r="E12" s="9" t="inlineStr">
        <is>
          <t>内容组发布，安排腰部达人转发</t>
        </is>
      </c>
      <c r="F12" s="9" t="inlineStr">
        <is>
          <t>内容组</t>
        </is>
      </c>
      <c r="G12" s="9" t="inlineStr">
        <is>
          <t>内容系列5条</t>
        </is>
      </c>
    </row>
    <row r="13" ht="42" customHeight="1">
      <c r="A13" s="21" t="inlineStr">
        <is>
          <t>爆发期（第3周）</t>
        </is>
      </c>
      <c r="B13" s="8" t="inlineStr">
        <is>
          <t>第3周</t>
        </is>
      </c>
      <c r="C13" s="8" t="inlineStr">
        <is>
          <t>门店体验周</t>
        </is>
      </c>
      <c r="D13" s="9" t="inlineStr">
        <is>
          <t>3家门店统一推出「周末装备体验日」活动，进店体验可抽限量装备</t>
        </is>
      </c>
      <c r="E13" s="9" t="inlineStr">
        <is>
          <t>门店协同活动组，到店即送周边</t>
        </is>
      </c>
      <c r="F13" s="9" t="inlineStr">
        <is>
          <t>门店/活动组</t>
        </is>
      </c>
      <c r="G13" s="9" t="inlineStr">
        <is>
          <t>门店客流+体验打卡数据</t>
        </is>
      </c>
    </row>
    <row r="14" ht="42" customHeight="1">
      <c r="A14" s="21" t="inlineStr">
        <is>
          <t>爆发期（第3周）</t>
        </is>
      </c>
      <c r="B14" s="8" t="inlineStr">
        <is>
          <t>第3周</t>
        </is>
      </c>
      <c r="C14" s="8" t="inlineStr">
        <is>
          <t>线上话题冲顶</t>
        </is>
      </c>
      <c r="D14" s="9" t="inlineStr">
        <is>
          <t>通过KOL接力+信息流投放，话题参与量冲击3000条，品牌总曝光目标400万</t>
        </is>
      </c>
      <c r="E14" s="9" t="inlineStr">
        <is>
          <t>投放组加大预算，运营组策划互动话题</t>
        </is>
      </c>
      <c r="F14" s="9" t="inlineStr">
        <is>
          <t>投放/运营组</t>
        </is>
      </c>
      <c r="G14" s="9" t="inlineStr">
        <is>
          <t>话题页数据报告</t>
        </is>
      </c>
    </row>
    <row r="15" ht="42" customHeight="1">
      <c r="A15" s="21" t="inlineStr">
        <is>
          <t>收割期（第4周）</t>
        </is>
      </c>
      <c r="B15" s="8" t="inlineStr">
        <is>
          <t>第4周</t>
        </is>
      </c>
      <c r="C15" s="8" t="inlineStr">
        <is>
          <t>第二场轻野营</t>
        </is>
      </c>
      <c r="D15" s="9" t="inlineStr">
        <is>
          <t>佘山森林公园举办第2场「周末轻野营」，配合秋季新品展示，集中引导购买</t>
        </is>
      </c>
      <c r="E15" s="9" t="inlineStr">
        <is>
          <t>活动组执行，设置试穿区+折扣券</t>
        </is>
      </c>
      <c r="F15" s="9" t="inlineStr">
        <is>
          <t>活动组</t>
        </is>
      </c>
      <c r="G15" s="9" t="inlineStr">
        <is>
          <t>活动现场+销售转化数</t>
        </is>
      </c>
    </row>
    <row r="16" ht="42" customHeight="1">
      <c r="A16" s="21" t="inlineStr">
        <is>
          <t>收割期（第4周）</t>
        </is>
      </c>
      <c r="B16" s="8" t="inlineStr">
        <is>
          <t>第4周</t>
        </is>
      </c>
      <c r="C16" s="8" t="inlineStr">
        <is>
          <t>达人二次种草</t>
        </is>
      </c>
      <c r="D16" s="9" t="inlineStr">
        <is>
          <t>腰部达人发布深度测评与长期使用体验笔记，突出产品耐穿/舒适/轻量</t>
        </is>
      </c>
      <c r="E16" s="9" t="inlineStr">
        <is>
          <t>媒介推进内容产出，附购物车链接</t>
        </is>
      </c>
      <c r="F16" s="9" t="inlineStr">
        <is>
          <t>媒介/内容组</t>
        </is>
      </c>
      <c r="G16" s="9" t="inlineStr">
        <is>
          <t>电商引流数据</t>
        </is>
      </c>
    </row>
    <row r="17" ht="42" customHeight="1">
      <c r="A17" s="21" t="inlineStr">
        <is>
          <t>收割期（第4周）</t>
        </is>
      </c>
      <c r="B17" s="8" t="inlineStr">
        <is>
          <t>第4周</t>
        </is>
      </c>
      <c r="C17" s="8" t="inlineStr">
        <is>
          <t>社群转化冲刺</t>
        </is>
      </c>
      <c r="D17" s="9" t="inlineStr">
        <is>
          <t>社群内发起「轻量装备团购拼单」活动，分享户外攻略，引导至天猫/门店成交</t>
        </is>
      </c>
      <c r="E17" s="9" t="inlineStr">
        <is>
          <t>社群运营发布拼团链接+优惠码</t>
        </is>
      </c>
      <c r="F17" s="9" t="inlineStr">
        <is>
          <t>社群运营</t>
        </is>
      </c>
      <c r="G17" s="9" t="inlineStr">
        <is>
          <t>拼团订单&gt;200单</t>
        </is>
      </c>
    </row>
    <row r="18" ht="42" customHeight="1">
      <c r="A18" s="21" t="inlineStr">
        <is>
          <t>收割期（第4周）</t>
        </is>
      </c>
      <c r="B18" s="8" t="inlineStr">
        <is>
          <t>第4周</t>
        </is>
      </c>
      <c r="C18" s="8" t="inlineStr">
        <is>
          <t>数据复盘与结案</t>
        </is>
      </c>
      <c r="D18" s="9" t="inlineStr">
        <is>
          <t>汇总全月KPI数据，产出结案报告（曝光/互动/销售ROI），输出SOP素材</t>
        </is>
      </c>
      <c r="E18" s="9" t="inlineStr">
        <is>
          <t>运营与数据组整理报告，复盘团队</t>
        </is>
      </c>
      <c r="F18" s="9" t="inlineStr">
        <is>
          <t>运营/数据组</t>
        </is>
      </c>
      <c r="G18" s="9" t="inlineStr">
        <is>
          <t>结案PPT+可复用素材包</t>
        </is>
      </c>
    </row>
    <row r="22">
      <c r="A22" s="3" t="inlineStr">
        <is>
          <t>阶段</t>
        </is>
      </c>
      <c r="B22" s="3" t="inlineStr">
        <is>
          <t>起始周</t>
        </is>
      </c>
      <c r="C22" s="3" t="inlineStr">
        <is>
          <t>持续周数</t>
        </is>
      </c>
    </row>
    <row r="23">
      <c r="A23" s="8" t="inlineStr">
        <is>
          <t>筹备期</t>
        </is>
      </c>
      <c r="B23" s="8" t="n">
        <v>1</v>
      </c>
      <c r="C23" s="8" t="n">
        <v>1</v>
      </c>
    </row>
    <row r="24">
      <c r="A24" s="8" t="inlineStr">
        <is>
          <t>预热期</t>
        </is>
      </c>
      <c r="B24" s="8" t="n">
        <v>2</v>
      </c>
      <c r="C24" s="8" t="n">
        <v>1</v>
      </c>
    </row>
    <row r="25">
      <c r="A25" s="8" t="inlineStr">
        <is>
          <t>爆发期</t>
        </is>
      </c>
      <c r="B25" s="8" t="n">
        <v>3</v>
      </c>
      <c r="C25" s="8" t="n">
        <v>1</v>
      </c>
    </row>
    <row r="26">
      <c r="A26" s="8" t="inlineStr">
        <is>
          <t>收割期</t>
        </is>
      </c>
      <c r="B26" s="8" t="n">
        <v>4</v>
      </c>
      <c r="C26" s="8" t="n">
        <v>1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18" customWidth="1" min="4" max="4"/>
    <col width="18" customWidth="1" min="5" max="5"/>
    <col width="30" customWidth="1" min="6" max="6"/>
    <col width="14" customWidth="1" min="7" max="7"/>
  </cols>
  <sheetData>
    <row r="1" ht="36" customHeight="1">
      <c r="A1" s="1" t="inlineStr">
        <is>
          <t>预期效果与 KPI — 四维指标体系</t>
        </is>
      </c>
    </row>
    <row r="2" ht="28" customHeight="1">
      <c r="A2" s="3" t="inlineStr">
        <is>
          <t>指标维度</t>
        </is>
      </c>
      <c r="B2" s="3" t="inlineStr">
        <is>
          <t>指标名称</t>
        </is>
      </c>
      <c r="C2" s="3" t="inlineStr">
        <is>
          <t>指标定义</t>
        </is>
      </c>
      <c r="D2" s="3" t="inlineStr">
        <is>
          <t>上海单城市版目标值</t>
        </is>
      </c>
      <c r="E2" s="3" t="inlineStr">
        <is>
          <t>达成路径</t>
        </is>
      </c>
      <c r="G2" s="3" t="inlineStr">
        <is>
          <t>上海单城市版数值</t>
        </is>
      </c>
    </row>
    <row r="3" ht="30" customHeight="1">
      <c r="A3" s="22" t="inlineStr">
        <is>
          <t>品牌传播</t>
        </is>
      </c>
      <c r="B3" s="9" t="inlineStr">
        <is>
          <t>全网总曝光量</t>
        </is>
      </c>
      <c r="C3" s="9" t="inlineStr">
        <is>
          <t>品牌相关内容在抖音/小红书/得物平台的总曝光次数</t>
        </is>
      </c>
      <c r="D3" s="8" t="inlineStr">
        <is>
          <t>500万</t>
        </is>
      </c>
      <c r="E3" s="9" t="inlineStr"/>
      <c r="G3" s="10" t="n">
        <v>500</v>
      </c>
    </row>
    <row r="4" ht="30" customHeight="1">
      <c r="A4" s="22" t="inlineStr">
        <is>
          <t>品牌传播</t>
        </is>
      </c>
      <c r="B4" s="9" t="inlineStr">
        <is>
          <t>话题参与量</t>
        </is>
      </c>
      <c r="C4" s="9" t="inlineStr">
        <is>
          <t>#我的第一件户外装备# 话题参与UGC条数</t>
        </is>
      </c>
      <c r="D4" s="8" t="inlineStr">
        <is>
          <t>3000条</t>
        </is>
      </c>
      <c r="E4" s="9" t="inlineStr"/>
      <c r="G4" s="10" t="n">
        <v>3000</v>
      </c>
    </row>
    <row r="5" ht="30" customHeight="1">
      <c r="A5" s="22" t="inlineStr">
        <is>
          <t>品牌传播</t>
        </is>
      </c>
      <c r="B5" s="9" t="inlineStr">
        <is>
          <t>达人内容互动率</t>
        </is>
      </c>
      <c r="C5" s="9" t="inlineStr">
        <is>
          <t>达人视频/图文的赞评比均值</t>
        </is>
      </c>
      <c r="D5" s="8" t="inlineStr">
        <is>
          <t>5%</t>
        </is>
      </c>
      <c r="E5" s="9" t="inlineStr"/>
      <c r="G5" s="10" t="n">
        <v>5</v>
      </c>
    </row>
    <row r="6" ht="30" customHeight="1">
      <c r="A6" s="22" t="inlineStr">
        <is>
          <t>品牌传播</t>
        </is>
      </c>
      <c r="B6" s="9" t="inlineStr">
        <is>
          <t>品牌词搜索量增长</t>
        </is>
      </c>
      <c r="C6" s="9" t="inlineStr">
        <is>
          <t>小红书/百度指数品牌词搜索增长</t>
        </is>
      </c>
      <c r="D6" s="8" t="inlineStr">
        <is>
          <t>20%</t>
        </is>
      </c>
      <c r="E6" s="9" t="inlineStr"/>
      <c r="G6" s="10" t="n">
        <v>20</v>
      </c>
    </row>
    <row r="7" ht="30" customHeight="1">
      <c r="A7" s="22" t="inlineStr">
        <is>
          <t>品牌传播</t>
        </is>
      </c>
      <c r="B7" s="9" t="inlineStr">
        <is>
          <t>媒体报道/PR稿数</t>
        </is>
      </c>
      <c r="C7" s="9" t="inlineStr">
        <is>
          <t>上海本地媒体或行业媒体的报道篇数</t>
        </is>
      </c>
      <c r="D7" s="8" t="inlineStr">
        <is>
          <t>5篇</t>
        </is>
      </c>
      <c r="E7" s="9" t="inlineStr"/>
      <c r="G7" s="10" t="n">
        <v>5</v>
      </c>
    </row>
    <row r="8" ht="30" customHeight="1">
      <c r="A8" s="17" t="inlineStr">
        <is>
          <t>用户增长</t>
        </is>
      </c>
      <c r="B8" s="9" t="inlineStr">
        <is>
          <t>新粉丝数</t>
        </is>
      </c>
      <c r="C8" s="9" t="inlineStr">
        <is>
          <t>品牌官方抖音/小红书/得物新增粉丝</t>
        </is>
      </c>
      <c r="D8" s="8" t="inlineStr">
        <is>
          <t>5万</t>
        </is>
      </c>
      <c r="E8" s="9" t="inlineStr"/>
      <c r="G8" s="10" t="n">
        <v>5</v>
      </c>
    </row>
    <row r="9" ht="30" customHeight="1">
      <c r="A9" s="17" t="inlineStr">
        <is>
          <t>用户增长</t>
        </is>
      </c>
      <c r="B9" s="9" t="inlineStr">
        <is>
          <t>社群新增用户</t>
        </is>
      </c>
      <c r="C9" s="9" t="inlineStr">
        <is>
          <t>品牌上海本地社群新增成员</t>
        </is>
      </c>
      <c r="D9" s="8" t="inlineStr">
        <is>
          <t>2000人</t>
        </is>
      </c>
      <c r="E9" s="9" t="inlineStr"/>
      <c r="G9" s="10" t="n">
        <v>2000</v>
      </c>
    </row>
    <row r="10" ht="30" customHeight="1">
      <c r="A10" s="17" t="inlineStr">
        <is>
          <t>用户增长</t>
        </is>
      </c>
      <c r="B10" s="9" t="inlineStr">
        <is>
          <t>活动报名人数</t>
        </is>
      </c>
      <c r="C10" s="9" t="inlineStr">
        <is>
          <t>4场活动(轻野营+夜跑+骑行)报名总人数</t>
        </is>
      </c>
      <c r="D10" s="8" t="inlineStr">
        <is>
          <t>600人</t>
        </is>
      </c>
      <c r="E10" s="9" t="inlineStr"/>
      <c r="G10" s="10" t="n">
        <v>600</v>
      </c>
    </row>
    <row r="11" ht="30" customHeight="1">
      <c r="A11" s="17" t="inlineStr">
        <is>
          <t>用户增长</t>
        </is>
      </c>
      <c r="B11" s="9" t="inlineStr">
        <is>
          <t>话题参与用户数</t>
        </is>
      </c>
      <c r="C11" s="9" t="inlineStr">
        <is>
          <t>发布带话题笔记的独立用户数</t>
        </is>
      </c>
      <c r="D11" s="8" t="inlineStr">
        <is>
          <t>500人</t>
        </is>
      </c>
      <c r="E11" s="9" t="inlineStr"/>
      <c r="G11" s="10" t="n">
        <v>500</v>
      </c>
    </row>
    <row r="12" ht="30" customHeight="1">
      <c r="A12" s="19" t="inlineStr">
        <is>
          <t>销售转化</t>
        </is>
      </c>
      <c r="B12" s="9" t="inlineStr">
        <is>
          <t>天猫/得物店铺引流</t>
        </is>
      </c>
      <c r="C12" s="9" t="inlineStr">
        <is>
          <t>通过达人/社群导流至电商平台的UV</t>
        </is>
      </c>
      <c r="D12" s="8" t="inlineStr">
        <is>
          <t>10万UV</t>
        </is>
      </c>
      <c r="E12" s="9" t="inlineStr"/>
      <c r="G12" s="10" t="n">
        <v>10</v>
      </c>
    </row>
    <row r="13" ht="30" customHeight="1">
      <c r="A13" s="19" t="inlineStr">
        <is>
          <t>销售转化</t>
        </is>
      </c>
      <c r="B13" s="9" t="inlineStr">
        <is>
          <t>核销订单数</t>
        </is>
      </c>
      <c r="C13" s="9" t="inlineStr">
        <is>
          <t>受活动/内容直接影响的订单量（含天猫+门店）</t>
        </is>
      </c>
      <c r="D13" s="8" t="inlineStr">
        <is>
          <t>800单</t>
        </is>
      </c>
      <c r="E13" s="9" t="inlineStr"/>
      <c r="G13" s="10" t="n">
        <v>800</v>
      </c>
    </row>
    <row r="14" ht="30" customHeight="1">
      <c r="A14" s="19" t="inlineStr">
        <is>
          <t>销售转化</t>
        </is>
      </c>
      <c r="B14" s="9" t="inlineStr">
        <is>
          <t>ROI (广告投入产出)</t>
        </is>
      </c>
      <c r="C14" s="9" t="inlineStr">
        <is>
          <t>投放花费产出比（GMV/投入）</t>
        </is>
      </c>
      <c r="D14" s="8" t="inlineStr">
        <is>
          <t>3.0</t>
        </is>
      </c>
      <c r="E14" s="9" t="inlineStr"/>
      <c r="G14" s="10" t="n">
        <v>3</v>
      </c>
    </row>
    <row r="15" ht="30" customHeight="1">
      <c r="A15" s="19" t="inlineStr">
        <is>
          <t>销售转化</t>
        </is>
      </c>
      <c r="B15" s="9" t="inlineStr">
        <is>
          <t>门店体验转化率</t>
        </is>
      </c>
      <c r="C15" s="9" t="inlineStr">
        <is>
          <t>门店体验后购买/n试穿率</t>
        </is>
      </c>
      <c r="D15" s="8" t="inlineStr">
        <is>
          <t>15%</t>
        </is>
      </c>
      <c r="E15" s="9" t="inlineStr"/>
      <c r="G15" s="10" t="n">
        <v>15</v>
      </c>
    </row>
    <row r="16" ht="30" customHeight="1">
      <c r="A16" s="20" t="inlineStr">
        <is>
          <t>渠道建设</t>
        </is>
      </c>
      <c r="B16" s="9" t="inlineStr">
        <is>
          <t>新增渠道合作</t>
        </is>
      </c>
      <c r="C16" s="9" t="inlineStr">
        <is>
          <t>与上海户外运动联盟、场地、社群建立合作的数量</t>
        </is>
      </c>
      <c r="D16" s="8" t="inlineStr">
        <is>
          <t>3个</t>
        </is>
      </c>
      <c r="E16" s="9" t="inlineStr"/>
      <c r="G16" s="10" t="n">
        <v>3</v>
      </c>
    </row>
    <row r="17" ht="30" customHeight="1">
      <c r="A17" s="20" t="inlineStr">
        <is>
          <t>渠道建设</t>
        </is>
      </c>
      <c r="B17" s="9" t="inlineStr">
        <is>
          <t>达人库积累</t>
        </is>
      </c>
      <c r="C17" s="9" t="inlineStr">
        <is>
          <t>筛选入库的优质达人账号数</t>
        </is>
      </c>
      <c r="D17" s="8" t="inlineStr">
        <is>
          <t>50个</t>
        </is>
      </c>
      <c r="E17" s="9" t="inlineStr"/>
      <c r="G17" s="10" t="n">
        <v>50</v>
      </c>
    </row>
    <row r="18" ht="30" customHeight="1">
      <c r="A18" s="20" t="inlineStr">
        <is>
          <t>渠道建设</t>
        </is>
      </c>
      <c r="B18" s="9" t="inlineStr">
        <is>
          <t>线下场地资源</t>
        </is>
      </c>
      <c r="C18" s="9" t="inlineStr">
        <is>
          <t>建立长期合作的户外场地/商圈资源数</t>
        </is>
      </c>
      <c r="D18" s="8" t="inlineStr">
        <is>
          <t>3处</t>
        </is>
      </c>
      <c r="E18" s="9" t="inlineStr"/>
      <c r="G18" s="10" t="n">
        <v>3</v>
      </c>
    </row>
    <row r="20" ht="28" customHeight="1">
      <c r="A20" s="22" t="inlineStr">
        <is>
          <t>ROI 投入产出分析</t>
        </is>
      </c>
    </row>
    <row r="21" ht="28" customHeight="1">
      <c r="A21" s="12" t="inlineStr">
        <is>
          <t>总预算（万元）</t>
        </is>
      </c>
      <c r="B21" s="9" t="inlineStr">
        <is>
          <t>投入成本</t>
        </is>
      </c>
      <c r="C21" s="9" t="inlineStr">
        <is>
          <t>全部费用总和</t>
        </is>
      </c>
      <c r="D21" s="8" t="inlineStr">
        <is>
          <t>20.0</t>
        </is>
      </c>
      <c r="E21" s="9" t="inlineStr"/>
    </row>
    <row r="22" ht="28" customHeight="1">
      <c r="A22" s="12" t="inlineStr">
        <is>
          <t>预估营收（万元）</t>
        </is>
      </c>
      <c r="B22" s="9" t="inlineStr">
        <is>
          <t>GMV</t>
        </is>
      </c>
      <c r="C22" s="9" t="inlineStr">
        <is>
          <t>基于800订单×客单1300元=104万，叠加SEO长期效果</t>
        </is>
      </c>
      <c r="D22" s="8" t="inlineStr">
        <is>
          <t>80</t>
        </is>
      </c>
      <c r="E22" s="9" t="inlineStr">
        <is>
          <t>保守估计800单×1000元客单=80万元</t>
        </is>
      </c>
    </row>
    <row r="23" ht="28" customHeight="1">
      <c r="A23" s="12" t="inlineStr">
        <is>
          <t>ROI</t>
        </is>
      </c>
      <c r="B23" s="9" t="inlineStr">
        <is>
          <t>投入产出比</t>
        </is>
      </c>
      <c r="C23" s="9" t="inlineStr">
        <is>
          <t>GMV/总投入</t>
        </is>
      </c>
      <c r="D23" s="8" t="inlineStr">
        <is>
          <t>4.0</t>
        </is>
      </c>
      <c r="E23" s="9" t="inlineStr">
        <is>
          <t>含长尾流量预计利润&gt;20%</t>
        </is>
      </c>
    </row>
    <row r="53">
      <c r="A53" s="3" t="inlineStr">
        <is>
          <t>项目</t>
        </is>
      </c>
      <c r="B53" s="3" t="inlineStr">
        <is>
          <t>上海单城市版</t>
        </is>
      </c>
    </row>
    <row r="54">
      <c r="A54" s="9" t="inlineStr">
        <is>
          <t>总投入</t>
        </is>
      </c>
      <c r="B54" s="23" t="n">
        <v>20</v>
      </c>
    </row>
    <row r="55">
      <c r="A55" s="9" t="inlineStr">
        <is>
          <t>预估营收</t>
        </is>
      </c>
      <c r="B55" s="23" t="n">
        <v>80</v>
      </c>
    </row>
    <row r="58">
      <c r="A58" s="3" t="inlineStr">
        <is>
          <t>维度</t>
        </is>
      </c>
      <c r="B58" s="3" t="inlineStr">
        <is>
          <t>上海单城市版得分</t>
        </is>
      </c>
    </row>
    <row r="59">
      <c r="A59" s="9" t="inlineStr">
        <is>
          <t>品牌传播</t>
        </is>
      </c>
      <c r="B59" s="8" t="n">
        <v>85</v>
      </c>
    </row>
    <row r="60">
      <c r="A60" s="9" t="inlineStr">
        <is>
          <t>用户增长</t>
        </is>
      </c>
      <c r="B60" s="8" t="n">
        <v>70</v>
      </c>
    </row>
    <row r="61">
      <c r="A61" s="9" t="inlineStr">
        <is>
          <t>销售转化</t>
        </is>
      </c>
      <c r="B61" s="8" t="n">
        <v>75</v>
      </c>
    </row>
    <row r="62">
      <c r="A62" s="9" t="inlineStr">
        <is>
          <t>渠道建设</t>
        </is>
      </c>
      <c r="B62" s="8" t="n">
        <v>60</v>
      </c>
    </row>
  </sheetData>
  <mergeCells count="2">
    <mergeCell ref="A1:F1"/>
    <mergeCell ref="A20:E2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2026-07-09T09:05:27Z</dcterms:created>
  <dcterms:modified xmlns:dcterms="http://purl.org/dc/terms/" xmlns:xsi="http://www.w3.org/2001/XMLSchema-instance" xsi:type="dcterms:W3CDTF">2026-07-09T09:05:27Z</dcterms:modified>
</cp:coreProperties>
</file>