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总览" sheetId="1" state="visible" r:id="rId1"/>
    <sheet xmlns:r="http://schemas.openxmlformats.org/officeDocument/2006/relationships" name="预算明细" sheetId="2" state="visible" r:id="rId2"/>
    <sheet xmlns:r="http://schemas.openxmlformats.org/officeDocument/2006/relationships" name="活动流程时间线" sheetId="3" state="visible" r:id="rId3"/>
    <sheet xmlns:r="http://schemas.openxmlformats.org/officeDocument/2006/relationships" name="预期效果K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718096"/>
      <sz val="10"/>
    </font>
    <font>
      <name val="微软雅黑"/>
      <b val="1"/>
      <color rgb="00FFFFFF"/>
      <sz val="11"/>
    </font>
    <font>
      <name val="微软雅黑"/>
      <color rgb="002D3748"/>
      <sz val="10"/>
    </font>
    <font>
      <name val="微软雅黑"/>
      <b val="1"/>
      <color rgb="001F4E79"/>
      <sz val="11"/>
    </font>
    <font>
      <name val="微软雅黑"/>
      <i val="1"/>
      <color rgb="00718096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D374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预算分配对比（上海单城版）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'预算总览'!C3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'预算总览'!$B$4:$B$8</f>
            </numRef>
          </cat>
          <val>
            <numRef>
              <f>'预算总览'!$C$4:$C$8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费用项目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上海单城版预算分配占比（60.0万）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'预算总览'!$B$4:$B$8</f>
            </numRef>
          </cat>
          <val>
            <numRef>
              <f>'预算总览'!$C$4:$C$8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各费用大类对比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'预算明细'!B25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'预算明细'!$A$26:$A$30</f>
            </numRef>
          </cat>
          <val>
            <numRef>
              <f>'预算明细'!$B$26:$B$30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活动流程甘特图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'活动流程时间线'!C22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'活动流程时间线'!$A$23:$A$26</f>
            </numRef>
          </cat>
          <val>
            <numRef>
              <f>'活动流程时间线'!$C$23:$C$26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 KPI 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'预期效果KPI'!G2</f>
            </strRef>
          </tx>
          <spPr>
            <a:solidFill xmlns:a="http://schemas.openxmlformats.org/drawingml/2006/main">
              <a:srgbClr val="4A6CF7"/>
            </a:solidFill>
            <a:ln xmlns:a="http://schemas.openxmlformats.org/drawingml/2006/main">
              <a:prstDash val="solid"/>
            </a:ln>
          </spPr>
          <cat>
            <numRef>
              <f>'预期效果KPI'!$B$3:$B$10</f>
            </numRef>
          </cat>
          <val>
            <numRef>
              <f>'预期效果KPI'!$G$3:$G$10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投入产出对比（预算 vs 预估营收）</a:t>
            </a:r>
          </a:p>
        </rich>
      </tx>
    </title>
    <plotArea>
      <lineChart>
        <grouping val="standard"/>
        <ser>
          <idx val="0"/>
          <order val="0"/>
          <tx>
            <strRef>
              <f>'预期效果KPI'!B52</f>
            </strRef>
          </tx>
          <spPr>
            <a:ln xmlns:a="http://schemas.openxmlformats.org/drawingml/2006/main" w="30000">
              <a:solidFill>
                <a:srgbClr val="4A6CF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'预期效果KPI'!$B$53:$B$54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四维营销效果雷达图</a:t>
            </a:r>
          </a:p>
        </rich>
      </tx>
    </title>
    <plotArea>
      <radarChart>
        <radarStyle val="filled"/>
        <ser>
          <idx val="0"/>
          <order val="0"/>
          <tx>
            <strRef>
              <f>'预期效果KPI'!B57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'预期效果KPI'!$A$58:$A$61</f>
            </numRef>
          </cat>
          <val>
            <numRef>
              <f>'预期效果KPI'!$B$58:$B$61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24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26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26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61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2" customWidth="1" min="4" max="4"/>
    <col width="20" customWidth="1" min="5" max="5"/>
  </cols>
  <sheetData>
    <row r="1" ht="36" customHeight="1">
      <c r="A1" s="1" t="inlineStr">
        <is>
          <t>李宁营销方案 — 预算总览</t>
        </is>
      </c>
    </row>
    <row r="2" ht="22" customHeight="1">
      <c r="A2" s="2" t="inlineStr">
        <is>
          <t>上海街头，我的主场</t>
        </is>
      </c>
    </row>
    <row r="3" ht="28" customHeight="1">
      <c r="A3" s="3" t="inlineStr">
        <is>
          <t>序号</t>
        </is>
      </c>
      <c r="B3" s="3" t="inlineStr">
        <is>
          <t>费用项目</t>
        </is>
      </c>
      <c r="C3" s="3" t="inlineStr">
        <is>
          <t>上海单城版金额(万元)</t>
        </is>
      </c>
      <c r="D3" s="3" t="inlineStr">
        <is>
          <t>上海单城版占比</t>
        </is>
      </c>
      <c r="E3" s="3" t="inlineStr">
        <is>
          <t>差异说明</t>
        </is>
      </c>
    </row>
    <row r="4" ht="26" customHeight="1">
      <c r="A4" s="4" t="n">
        <v>1</v>
      </c>
      <c r="B4" s="5" t="inlineStr">
        <is>
          <t>活动执行</t>
        </is>
      </c>
      <c r="C4" s="6" t="n">
        <v>20</v>
      </c>
      <c r="D4" s="4" t="inlineStr">
        <is>
          <t>33</t>
        </is>
      </c>
      <c r="E4" s="7" t="n"/>
      <c r="F4" s="4" t="n"/>
      <c r="G4" s="4" t="inlineStr"/>
    </row>
    <row r="5" ht="26" customHeight="1">
      <c r="A5" s="8" t="n">
        <v>2</v>
      </c>
      <c r="B5" s="9" t="inlineStr">
        <is>
          <t>达人合作</t>
        </is>
      </c>
      <c r="C5" s="10" t="n">
        <v>15</v>
      </c>
      <c r="D5" s="8" t="inlineStr">
        <is>
          <t>25</t>
        </is>
      </c>
      <c r="E5" s="11" t="n"/>
      <c r="F5" s="8" t="n"/>
      <c r="G5" s="8" t="inlineStr"/>
    </row>
    <row r="6" ht="26" customHeight="1">
      <c r="A6" s="4" t="n">
        <v>3</v>
      </c>
      <c r="B6" s="5" t="inlineStr">
        <is>
          <t>内容制作</t>
        </is>
      </c>
      <c r="C6" s="6" t="n">
        <v>10</v>
      </c>
      <c r="D6" s="4" t="inlineStr">
        <is>
          <t>17</t>
        </is>
      </c>
      <c r="E6" s="7" t="n"/>
      <c r="F6" s="4" t="n"/>
      <c r="G6" s="4" t="inlineStr"/>
    </row>
    <row r="7" ht="26" customHeight="1">
      <c r="A7" s="8" t="n">
        <v>4</v>
      </c>
      <c r="B7" s="9" t="inlineStr">
        <is>
          <t>平台投放</t>
        </is>
      </c>
      <c r="C7" s="10" t="n">
        <v>8</v>
      </c>
      <c r="D7" s="8" t="inlineStr">
        <is>
          <t>13</t>
        </is>
      </c>
      <c r="E7" s="11" t="n"/>
      <c r="F7" s="8" t="n"/>
      <c r="G7" s="8" t="inlineStr"/>
    </row>
    <row r="8" ht="26" customHeight="1">
      <c r="A8" s="4" t="n">
        <v>5</v>
      </c>
      <c r="B8" s="5" t="inlineStr">
        <is>
          <t>运营资源</t>
        </is>
      </c>
      <c r="C8" s="6" t="n">
        <v>7</v>
      </c>
      <c r="D8" s="4" t="inlineStr">
        <is>
          <t>12</t>
        </is>
      </c>
      <c r="E8" s="7" t="n"/>
      <c r="F8" s="4" t="n"/>
      <c r="G8" s="4" t="inlineStr"/>
    </row>
    <row r="9" ht="30" customHeight="1">
      <c r="A9" s="12" t="inlineStr"/>
      <c r="B9" s="13" t="inlineStr">
        <is>
          <t>合计</t>
        </is>
      </c>
      <c r="C9" s="14" t="n">
        <v>60</v>
      </c>
      <c r="D9" s="12" t="inlineStr">
        <is>
          <t>100%</t>
        </is>
      </c>
      <c r="E9" s="15" t="inlineStr"/>
    </row>
    <row r="11">
      <c r="A11" s="16" t="inlineStr">
        <is>
          <t>备注：单城市版本，无版本对比</t>
        </is>
      </c>
    </row>
  </sheetData>
  <mergeCells count="3">
    <mergeCell ref="A11:G11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14" customWidth="1" min="4" max="4"/>
    <col width="22" customWidth="1" min="5" max="5"/>
  </cols>
  <sheetData>
    <row r="1" ht="36" customHeight="1">
      <c r="A1" s="1" t="inlineStr">
        <is>
          <t>预算明细 — 各项费用拆分</t>
        </is>
      </c>
    </row>
    <row r="2" ht="28" customHeight="1">
      <c r="A2" s="3" t="inlineStr">
        <is>
          <t>费用大类</t>
        </is>
      </c>
      <c r="B2" s="3" t="inlineStr">
        <is>
          <t>子项明细</t>
        </is>
      </c>
      <c r="C2" s="3" t="inlineStr">
        <is>
          <t>用途说明</t>
        </is>
      </c>
      <c r="D2" s="3" t="inlineStr">
        <is>
          <t>上海单城版(万元)</t>
        </is>
      </c>
      <c r="E2" s="3" t="inlineStr">
        <is>
          <t>备注</t>
        </is>
      </c>
    </row>
    <row r="3" ht="24" customHeight="1">
      <c r="A3" s="17" t="inlineStr">
        <is>
          <t>活动执行</t>
        </is>
      </c>
      <c r="B3" s="9" t="inlineStr">
        <is>
          <t>李宁10K城市路跑赛（500人）</t>
        </is>
      </c>
      <c r="C3" s="9" t="inlineStr">
        <is>
          <t>赛事运营、场地、计时芯片、完赛奖牌、急救保障</t>
        </is>
      </c>
      <c r="D3" s="10" t="n">
        <v>12</v>
      </c>
      <c r="E3" s="9" t="inlineStr"/>
    </row>
    <row r="4" ht="24" customHeight="1">
      <c r="A4" s="17" t="inlineStr">
        <is>
          <t>活动执行</t>
        </is>
      </c>
      <c r="B4" s="9" t="inlineStr">
        <is>
          <t>盟域运营（3个社群）</t>
        </is>
      </c>
      <c r="C4" s="9" t="inlineStr">
        <is>
          <t>每周训练课教练费、场地租赁、能量补给、社群激励奖品</t>
        </is>
      </c>
      <c r="D4" s="10" t="n">
        <v>4.5</v>
      </c>
      <c r="E4" s="9" t="inlineStr"/>
    </row>
    <row r="5" ht="24" customHeight="1">
      <c r="A5" s="17" t="inlineStr">
        <is>
          <t>活动执行</t>
        </is>
      </c>
      <c r="B5" s="9" t="inlineStr">
        <is>
          <t>门店经营社快闪（首月1场）</t>
        </is>
      </c>
      <c r="C5" s="9" t="inlineStr">
        <is>
          <t>上海武康路/外滩快闪搭建、国潮打卡装置、试穿互动引导</t>
        </is>
      </c>
      <c r="D5" s="10" t="n">
        <v>2</v>
      </c>
      <c r="E5" s="9" t="inlineStr"/>
    </row>
    <row r="6" ht="24" customHeight="1">
      <c r="A6" s="17" t="inlineStr">
        <is>
          <t>活动执行</t>
        </is>
      </c>
      <c r="B6" s="9" t="inlineStr">
        <is>
          <t>3v3篮球挑战赛（60支队伍）</t>
        </is>
      </c>
      <c r="C6" s="9" t="inlineStr">
        <is>
          <t>球场租赁、裁判费、奖杯、赛事直播推流</t>
        </is>
      </c>
      <c r="D6" s="10" t="n">
        <v>1.5</v>
      </c>
      <c r="E6" s="9" t="inlineStr"/>
    </row>
    <row r="7" ht="24" customHeight="1">
      <c r="A7" s="18" t="inlineStr">
        <is>
          <t>达人合作</t>
        </is>
      </c>
      <c r="B7" s="9" t="inlineStr">
        <is>
          <t>头部博主（5位，品牌挚友）</t>
        </is>
      </c>
      <c r="C7" s="9" t="inlineStr">
        <is>
          <t>单条报价2-3万，含1条城市运动大片+1场直播，共10条内容</t>
        </is>
      </c>
      <c r="D7" s="10" t="n">
        <v>10</v>
      </c>
      <c r="E7" s="9" t="inlineStr"/>
    </row>
    <row r="8" ht="24" customHeight="1">
      <c r="A8" s="18" t="inlineStr">
        <is>
          <t>达人合作</t>
        </is>
      </c>
      <c r="B8" s="9" t="inlineStr">
        <is>
          <t>腰部博主（10位，深度体验）</t>
        </is>
      </c>
      <c r="C8" s="9" t="inlineStr">
        <is>
          <t>单条0.5-1万，重点拍摄跑步路线测评/穿搭教程，共20条</t>
        </is>
      </c>
      <c r="D8" s="10" t="n">
        <v>4</v>
      </c>
      <c r="E8" s="9" t="inlineStr"/>
    </row>
    <row r="9" ht="24" customHeight="1">
      <c r="A9" s="18" t="inlineStr">
        <is>
          <t>达人合作</t>
        </is>
      </c>
      <c r="B9" s="9" t="inlineStr">
        <is>
          <t>KOC素人（15位，口碑铺量）</t>
        </is>
      </c>
      <c r="C9" s="9" t="inlineStr">
        <is>
          <t>单条0.1-0.2万，提供试穿产品+素材授权，共40条</t>
        </is>
      </c>
      <c r="D9" s="10" t="n">
        <v>1</v>
      </c>
      <c r="E9" s="9" t="inlineStr"/>
    </row>
    <row r="10" ht="24" customHeight="1">
      <c r="A10" s="19" t="inlineStr">
        <is>
          <t>内容制作</t>
        </is>
      </c>
      <c r="B10" s="9" t="inlineStr">
        <is>
          <t>短视频拍摄制作（12周×3条）</t>
        </is>
      </c>
      <c r="C10" s="9" t="inlineStr">
        <is>
          <t>含外滩/武康路/苏州河场景，后期调色、字幕、版权音乐</t>
        </is>
      </c>
      <c r="D10" s="10" t="n">
        <v>6</v>
      </c>
      <c r="E10" s="9" t="inlineStr"/>
    </row>
    <row r="11" ht="24" customHeight="1">
      <c r="A11" s="19" t="inlineStr">
        <is>
          <t>内容制作</t>
        </is>
      </c>
      <c r="B11" s="9" t="inlineStr">
        <is>
          <t>平面广告物料（地铁灯箱/大屏）</t>
        </is>
      </c>
      <c r="C11" s="9" t="inlineStr">
        <is>
          <t>设计制作6组国潮风格视觉海报，投放在人民广场/徐家汇站</t>
        </is>
      </c>
      <c r="D11" s="10" t="n">
        <v>2</v>
      </c>
      <c r="E11" s="9" t="inlineStr"/>
    </row>
    <row r="12" ht="24" customHeight="1">
      <c r="A12" s="19" t="inlineStr">
        <is>
          <t>内容制作</t>
        </is>
      </c>
      <c r="B12" s="9" t="inlineStr">
        <is>
          <t>话题挑战赛素材包（抖音/小红书）</t>
        </is>
      </c>
      <c r="C12" s="9" t="inlineStr">
        <is>
          <t>模板贴纸3种、音乐授权、话题页搭建</t>
        </is>
      </c>
      <c r="D12" s="10" t="n">
        <v>1.5</v>
      </c>
      <c r="E12" s="9" t="inlineStr"/>
    </row>
    <row r="13" ht="24" customHeight="1">
      <c r="A13" s="19" t="inlineStr">
        <is>
          <t>内容制作</t>
        </is>
      </c>
      <c r="B13" s="9" t="inlineStr">
        <is>
          <t>品牌宣传短片（1条·城市版）</t>
        </is>
      </c>
      <c r="C13" s="9" t="inlineStr">
        <is>
          <t>脚本、拍摄、剪辑、调色，时长60s，用于开屏/信息流</t>
        </is>
      </c>
      <c r="D13" s="10" t="n">
        <v>0.5</v>
      </c>
      <c r="E13" s="9" t="inlineStr"/>
    </row>
    <row r="14" ht="24" customHeight="1">
      <c r="A14" s="20" t="inlineStr">
        <is>
          <t>平台投放</t>
        </is>
      </c>
      <c r="B14" s="9" t="inlineStr">
        <is>
          <t>抖音信息流广告（第3-5周集中）</t>
        </is>
      </c>
      <c r="C14" s="9" t="inlineStr">
        <is>
          <t>定向上海18-35岁人群，CPM 30元，预算3万可曝光1000万</t>
        </is>
      </c>
      <c r="D14" s="10" t="n">
        <v>3</v>
      </c>
      <c r="E14" s="9" t="inlineStr"/>
    </row>
    <row r="15" ht="24" customHeight="1">
      <c r="A15" s="20" t="inlineStr">
        <is>
          <t>平台投放</t>
        </is>
      </c>
      <c r="B15" s="9" t="inlineStr">
        <is>
          <t>小红书笔记加热/聚光投放</t>
        </is>
      </c>
      <c r="C15" s="9" t="inlineStr">
        <is>
          <t>CPE 2元，预算2万可触达60万互动量</t>
        </is>
      </c>
      <c r="D15" s="10" t="n">
        <v>2</v>
      </c>
      <c r="E15" s="9" t="inlineStr"/>
    </row>
    <row r="16" ht="24" customHeight="1">
      <c r="A16" s="20" t="inlineStr">
        <is>
          <t>平台投放</t>
        </is>
      </c>
      <c r="B16" s="9" t="inlineStr">
        <is>
          <t>B站品牌专区+开屏广告</t>
        </is>
      </c>
      <c r="C16" s="9" t="inlineStr">
        <is>
          <t>单日开屏10万，专区搭建5万，定向上海运动/潮流UP主粉丝</t>
        </is>
      </c>
      <c r="D16" s="10" t="n">
        <v>1.5</v>
      </c>
      <c r="E16" s="9" t="inlineStr"/>
    </row>
    <row r="17" ht="24" customHeight="1">
      <c r="A17" s="20" t="inlineStr">
        <is>
          <t>平台投放</t>
        </is>
      </c>
      <c r="B17" s="9" t="inlineStr">
        <is>
          <t>微信朋友圈广告-国潮跑首发</t>
        </is>
      </c>
      <c r="C17" s="9" t="inlineStr">
        <is>
          <t>投放LBS人群（外滩/武康路周边），CPM 60元，预算1.5万</t>
        </is>
      </c>
      <c r="D17" s="10" t="n">
        <v>1.5</v>
      </c>
      <c r="E17" s="9" t="inlineStr"/>
    </row>
    <row r="18" ht="24" customHeight="1">
      <c r="A18" s="12" t="inlineStr">
        <is>
          <t>运营资源</t>
        </is>
      </c>
      <c r="B18" s="9" t="inlineStr">
        <is>
          <t>社群运营（微信/企业微信）</t>
        </is>
      </c>
      <c r="C18" s="9" t="inlineStr">
        <is>
          <t>3个盟域对应3个社群，每周4次活动运营，物料/giveaway</t>
        </is>
      </c>
      <c r="D18" s="10" t="n">
        <v>3</v>
      </c>
      <c r="E18" s="9" t="inlineStr"/>
    </row>
    <row r="19" ht="24" customHeight="1">
      <c r="A19" s="12" t="inlineStr">
        <is>
          <t>运营资源</t>
        </is>
      </c>
      <c r="B19" s="9" t="inlineStr">
        <is>
          <t>会员积分/打卡活动激励</t>
        </is>
      </c>
      <c r="C19" s="9" t="inlineStr">
        <is>
          <t>打卡21天送限定跑鞋/手环，积分兑换折扣</t>
        </is>
      </c>
      <c r="D19" s="10" t="n">
        <v>2</v>
      </c>
      <c r="E19" s="9" t="inlineStr"/>
    </row>
    <row r="20" ht="24" customHeight="1">
      <c r="A20" s="12" t="inlineStr">
        <is>
          <t>运营资源</t>
        </is>
      </c>
      <c r="B20" s="9" t="inlineStr">
        <is>
          <t>线下门店导购培训+体验道具</t>
        </is>
      </c>
      <c r="C20" s="9" t="inlineStr">
        <is>
          <t>打造门店'试穿即测䨻科技'互动装置，统一话术培训</t>
        </is>
      </c>
      <c r="D20" s="10" t="n">
        <v>1.5</v>
      </c>
      <c r="E20" s="9" t="inlineStr"/>
    </row>
    <row r="21" ht="24" customHeight="1">
      <c r="A21" s="12" t="inlineStr">
        <is>
          <t>运营资源</t>
        </is>
      </c>
      <c r="B21" s="9" t="inlineStr">
        <is>
          <t>用户调研与数据复盘</t>
        </is>
      </c>
      <c r="C21" s="9" t="inlineStr">
        <is>
          <t>两次定量调研（前后测），NPS及品牌偏好分析</t>
        </is>
      </c>
      <c r="D21" s="10" t="n">
        <v>0.5</v>
      </c>
      <c r="E21" s="9" t="inlineStr"/>
    </row>
    <row r="22" ht="30" customHeight="1">
      <c r="A22" s="12" t="inlineStr">
        <is>
          <t>合计</t>
        </is>
      </c>
      <c r="B22" s="12" t="inlineStr"/>
      <c r="C22" s="12" t="inlineStr"/>
      <c r="D22" s="14" t="n">
        <v>60</v>
      </c>
      <c r="E22" s="14" t="inlineStr"/>
    </row>
    <row r="25">
      <c r="A25" s="3" t="inlineStr">
        <is>
          <t>费用大类</t>
        </is>
      </c>
      <c r="B25" s="3" t="inlineStr">
        <is>
          <t>上海单城版(万)</t>
        </is>
      </c>
    </row>
    <row r="26">
      <c r="A26" s="9" t="inlineStr">
        <is>
          <t>活动执行</t>
        </is>
      </c>
      <c r="B26" s="10" t="n">
        <v>20</v>
      </c>
    </row>
    <row r="27">
      <c r="A27" s="9" t="inlineStr">
        <is>
          <t>达人合作</t>
        </is>
      </c>
      <c r="B27" s="10" t="n">
        <v>15</v>
      </c>
    </row>
    <row r="28">
      <c r="A28" s="9" t="inlineStr">
        <is>
          <t>内容制作</t>
        </is>
      </c>
      <c r="B28" s="10" t="n">
        <v>10</v>
      </c>
    </row>
    <row r="29">
      <c r="A29" s="9" t="inlineStr">
        <is>
          <t>平台投放</t>
        </is>
      </c>
      <c r="B29" s="10" t="n">
        <v>8</v>
      </c>
    </row>
    <row r="30">
      <c r="A30" s="9" t="inlineStr">
        <is>
          <t>运营资源</t>
        </is>
      </c>
      <c r="B30" s="10" t="n">
        <v>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2" customWidth="1" min="4" max="4"/>
    <col width="48" customWidth="1" min="5" max="5"/>
    <col width="18" customWidth="1" min="6" max="6"/>
    <col width="20" customWidth="1" min="7" max="7"/>
  </cols>
  <sheetData>
    <row r="1" ht="36" customHeight="1">
      <c r="A1" s="1" t="inlineStr">
        <is>
          <t>活动流程 — 4个月执行时间线</t>
        </is>
      </c>
    </row>
    <row r="2" ht="28" customHeight="1">
      <c r="A2" s="3" t="inlineStr">
        <is>
          <t>阶段</t>
        </is>
      </c>
      <c r="B2" s="3" t="inlineStr">
        <is>
          <t>时间</t>
        </is>
      </c>
      <c r="C2" s="3" t="inlineStr">
        <is>
          <t>阶段目标</t>
        </is>
      </c>
      <c r="D2" s="3" t="inlineStr">
        <is>
          <t>核心任务</t>
        </is>
      </c>
      <c r="E2" s="3" t="inlineStr">
        <is>
          <t>具体动作</t>
        </is>
      </c>
      <c r="F2" s="3" t="inlineStr">
        <is>
          <t>负责方</t>
        </is>
      </c>
      <c r="G2" s="3" t="inlineStr">
        <is>
          <t>阶段产出</t>
        </is>
      </c>
    </row>
    <row r="3" ht="42" customHeight="1">
      <c r="A3" s="21" t="inlineStr">
        <is>
          <t>筹备期（第1-2周）</t>
        </is>
      </c>
      <c r="B3" s="8" t="inlineStr">
        <is>
          <t>W1-W2</t>
        </is>
      </c>
      <c r="C3" s="8" t="inlineStr">
        <is>
          <t>完成盟域挂牌与首发活动基础搭建</t>
        </is>
      </c>
      <c r="D3" s="9" t="inlineStr">
        <is>
          <t>盟域场地签约（3个跑团/篮球馆）</t>
        </is>
      </c>
      <c r="E3" s="9" t="inlineStr">
        <is>
          <t>与沪跑团、申城篮球联盟签署冠名协议，确定每周训练课排期</t>
        </is>
      </c>
      <c r="F3" s="9" t="inlineStr">
        <is>
          <t>品牌部</t>
        </is>
      </c>
      <c r="G3" s="9" t="inlineStr">
        <is>
          <t>合同签订、社群筹备群建立</t>
        </is>
      </c>
    </row>
    <row r="4" ht="42" customHeight="1">
      <c r="A4" s="21" t="inlineStr">
        <is>
          <t>筹备期（第1-2周）</t>
        </is>
      </c>
      <c r="B4" s="8" t="inlineStr">
        <is>
          <t>W1-W2</t>
        </is>
      </c>
      <c r="C4" s="8" t="inlineStr">
        <is>
          <t>完成盟域挂牌与首发活动基础搭建</t>
        </is>
      </c>
      <c r="D4" s="9" t="inlineStr">
        <is>
          <t>10K城市路跑赛报名启动</t>
        </is>
      </c>
      <c r="E4" s="9" t="inlineStr">
        <is>
          <t>通过跑团群、小红书、抖音发布赛事海报，前200名报名送李宁T恤</t>
        </is>
      </c>
      <c r="F4" s="9" t="inlineStr">
        <is>
          <t>运营部</t>
        </is>
      </c>
      <c r="G4" s="9" t="inlineStr">
        <is>
          <t>报名页面上线，报名人数≥300</t>
        </is>
      </c>
    </row>
    <row r="5" ht="42" customHeight="1">
      <c r="A5" s="21" t="inlineStr">
        <is>
          <t>筹备期（第1-2周）</t>
        </is>
      </c>
      <c r="B5" s="8" t="inlineStr">
        <is>
          <t>W1-W2</t>
        </is>
      </c>
      <c r="C5" s="8" t="inlineStr">
        <is>
          <t>完成盟域挂牌与首发活动基础搭建</t>
        </is>
      </c>
      <c r="D5" s="9" t="inlineStr">
        <is>
          <t>达人合作破冰与物料准备</t>
        </is>
      </c>
      <c r="E5" s="9" t="inlineStr">
        <is>
          <t>头部达人完成脚本共创，拍摄团队实地勘景（外滩、武康路）</t>
        </is>
      </c>
      <c r="F5" s="9" t="inlineStr">
        <is>
          <t>媒介部</t>
        </is>
      </c>
      <c r="G5" s="9" t="inlineStr">
        <is>
          <t>5份合作确认函、勘景照</t>
        </is>
      </c>
    </row>
    <row r="6" ht="42" customHeight="1">
      <c r="A6" s="21" t="inlineStr">
        <is>
          <t>筹备期（第1-2周）</t>
        </is>
      </c>
      <c r="B6" s="8" t="inlineStr">
        <is>
          <t>W1-W2</t>
        </is>
      </c>
      <c r="C6" s="8" t="inlineStr">
        <is>
          <t>完成盟域挂牌与首发活动基础搭建</t>
        </is>
      </c>
      <c r="D6" s="9" t="inlineStr">
        <is>
          <t>门店经营社快闪装置落地</t>
        </is>
      </c>
      <c r="E6" s="9" t="inlineStr">
        <is>
          <t>在上海武康路旗舰店搭建国潮打卡区，配备䨻科技试穿体验台</t>
        </is>
      </c>
      <c r="F6" s="9" t="inlineStr">
        <is>
          <t>零售部</t>
        </is>
      </c>
      <c r="G6" s="9" t="inlineStr">
        <is>
          <t>门店物料到位、试穿数据统计系统</t>
        </is>
      </c>
    </row>
    <row r="7" ht="42" customHeight="1">
      <c r="A7" s="21" t="inlineStr">
        <is>
          <t>预热期（第3-4周）</t>
        </is>
      </c>
      <c r="B7" s="8" t="inlineStr">
        <is>
          <t>W3-W4</t>
        </is>
      </c>
      <c r="C7" s="8" t="inlineStr">
        <is>
          <t>制造社交热度，蓄水流量</t>
        </is>
      </c>
      <c r="D7" s="9" t="inlineStr">
        <is>
          <t>达人内容集中预热发布</t>
        </is>
      </c>
      <c r="E7" s="9" t="inlineStr">
        <is>
          <t>头部达人发布'上海街头我的主场'态度短视频，腰部博主发布跑步路线测评</t>
        </is>
      </c>
      <c r="F7" s="9" t="inlineStr">
        <is>
          <t>媒介部</t>
        </is>
      </c>
      <c r="G7" s="9" t="inlineStr">
        <is>
          <t>抖音#上海街头我的主场话题播放量≥500万</t>
        </is>
      </c>
    </row>
    <row r="8" ht="42" customHeight="1">
      <c r="A8" s="21" t="inlineStr">
        <is>
          <t>预热期（第3-4周）</t>
        </is>
      </c>
      <c r="B8" s="8" t="inlineStr">
        <is>
          <t>W3-W4</t>
        </is>
      </c>
      <c r="C8" s="8" t="inlineStr">
        <is>
          <t>制造社交热度，蓄水流量</t>
        </is>
      </c>
      <c r="D8" s="9" t="inlineStr">
        <is>
          <t>地铁灯箱/大屏广告上线</t>
        </is>
      </c>
      <c r="E8" s="9" t="inlineStr">
        <is>
          <t>人民广场、徐家汇、南京西路三站投放李宁国潮跑视觉海报</t>
        </is>
      </c>
      <c r="F8" s="9" t="inlineStr">
        <is>
          <t>品牌部</t>
        </is>
      </c>
      <c r="G8" s="9" t="inlineStr">
        <is>
          <t>广告上画确认、扫描二维码短链统计</t>
        </is>
      </c>
    </row>
    <row r="9" ht="42" customHeight="1">
      <c r="A9" s="21" t="inlineStr">
        <is>
          <t>预热期（第3-4周）</t>
        </is>
      </c>
      <c r="B9" s="8" t="inlineStr">
        <is>
          <t>W3-W4</t>
        </is>
      </c>
      <c r="C9" s="8" t="inlineStr">
        <is>
          <t>制造社交热度，蓄水流量</t>
        </is>
      </c>
      <c r="D9" s="9" t="inlineStr">
        <is>
          <t>微信/小红书话题挑战赛启动</t>
        </is>
      </c>
      <c r="E9" s="9" t="inlineStr">
        <is>
          <t>关键词#李宁上海街拍#，晒出外滩/武康路穿李宁的运动照片，赢限定跑鞋</t>
        </is>
      </c>
      <c r="F9" s="9" t="inlineStr">
        <is>
          <t>运营部</t>
        </is>
      </c>
      <c r="G9" s="9" t="inlineStr">
        <is>
          <t>参与人数≥5000、UGC≥200条</t>
        </is>
      </c>
    </row>
    <row r="10" ht="42" customHeight="1">
      <c r="A10" s="21" t="inlineStr">
        <is>
          <t>预热期（第3-4周）</t>
        </is>
      </c>
      <c r="B10" s="8" t="inlineStr">
        <is>
          <t>W3-W4</t>
        </is>
      </c>
      <c r="C10" s="8" t="inlineStr">
        <is>
          <t>制造社交热度，蓄水流量</t>
        </is>
      </c>
      <c r="D10" s="9" t="inlineStr">
        <is>
          <t>3v3篮球挑战赛报名+抽签</t>
        </is>
      </c>
      <c r="E10" s="9" t="inlineStr">
        <is>
          <t>通过申城篮球联盟社群、李宁小程序开放60支队伍报名</t>
        </is>
      </c>
      <c r="F10" s="9" t="inlineStr">
        <is>
          <t>赛事组</t>
        </is>
      </c>
      <c r="G10" s="9" t="inlineStr">
        <is>
          <t>报名队伍≥40支</t>
        </is>
      </c>
    </row>
    <row r="11" ht="42" customHeight="1">
      <c r="A11" s="21" t="inlineStr">
        <is>
          <t>爆发期（第5-9周）</t>
        </is>
      </c>
      <c r="B11" s="8" t="inlineStr">
        <is>
          <t>W5-W9</t>
        </is>
      </c>
      <c r="C11" s="8" t="inlineStr">
        <is>
          <t>事件引爆+深度运营，最大化曝光与转化</t>
        </is>
      </c>
      <c r="D11" s="9" t="inlineStr">
        <is>
          <t>李宁10K城市路跑赛（W5执行）</t>
        </is>
      </c>
      <c r="E11" s="9" t="inlineStr">
        <is>
          <t>外滩滨江步道，500人规模，8点开跑，抖音直播+全流程跟拍</t>
        </is>
      </c>
      <c r="F11" s="9" t="inlineStr">
        <is>
          <t>赛事组</t>
        </is>
      </c>
      <c r="G11" s="9" t="inlineStr">
        <is>
          <t>短视频传播≥10条、直播间在线峰值≥5000、活动总曝光≥800万</t>
        </is>
      </c>
    </row>
    <row r="12" ht="42" customHeight="1">
      <c r="A12" s="21" t="inlineStr">
        <is>
          <t>爆发期（第5-9周）</t>
        </is>
      </c>
      <c r="B12" s="8" t="inlineStr">
        <is>
          <t>W5-W9</t>
        </is>
      </c>
      <c r="C12" s="8" t="inlineStr">
        <is>
          <t>事件引爆+深度运营，最大化曝光与转化</t>
        </is>
      </c>
      <c r="D12" s="9" t="inlineStr">
        <is>
          <t>3v3篮球挑战赛开赛（W6-W7）</t>
        </is>
      </c>
      <c r="E12" s="9" t="inlineStr">
        <is>
          <t>在沪北体育馆举办，分小组赛+淘汰赛，李宁产品提供比赛用球和服饰</t>
        </is>
      </c>
      <c r="F12" s="9" t="inlineStr">
        <is>
          <t>赛事组</t>
        </is>
      </c>
      <c r="G12" s="9" t="inlineStr">
        <is>
          <t>现场观众≥800人、直播观看≥10万</t>
        </is>
      </c>
    </row>
    <row r="13" ht="42" customHeight="1">
      <c r="A13" s="21" t="inlineStr">
        <is>
          <t>爆发期（第5-9周）</t>
        </is>
      </c>
      <c r="B13" s="8" t="inlineStr">
        <is>
          <t>W5-W9</t>
        </is>
      </c>
      <c r="C13" s="8" t="inlineStr">
        <is>
          <t>事件引爆+深度运营，最大化曝光与转化</t>
        </is>
      </c>
      <c r="D13" s="9" t="inlineStr">
        <is>
          <t>盟域常态化运营高峰</t>
        </is>
      </c>
      <c r="E13" s="9" t="inlineStr">
        <is>
          <t>每周三晚跑团晨练、每周六篮球训练，结合新品试穿（韦德之道系列）</t>
        </is>
      </c>
      <c r="F13" s="9" t="inlineStr">
        <is>
          <t>社群运营</t>
        </is>
      </c>
      <c r="G13" s="9" t="inlineStr">
        <is>
          <t>社群活跃度≥40%、周均活动参与≥60人</t>
        </is>
      </c>
    </row>
    <row r="14" ht="42" customHeight="1">
      <c r="A14" s="21" t="inlineStr">
        <is>
          <t>爆发期（第5-9周）</t>
        </is>
      </c>
      <c r="B14" s="8" t="inlineStr">
        <is>
          <t>W5-W9</t>
        </is>
      </c>
      <c r="C14" s="8" t="inlineStr">
        <is>
          <t>事件引爆+深度运营，最大化曝光与转化</t>
        </is>
      </c>
      <c r="D14" s="9" t="inlineStr">
        <is>
          <t>达人内容持续引爆+直播带货</t>
        </is>
      </c>
      <c r="E14" s="9" t="inlineStr">
        <is>
          <t>头部达人进行第二次内容发布及直播（含跑鞋/潮服），腰部达人周更3条</t>
        </is>
      </c>
      <c r="F14" s="9" t="inlineStr">
        <is>
          <t>媒介部</t>
        </is>
      </c>
      <c r="G14" s="9" t="inlineStr">
        <is>
          <t>单场直播GMV≥10万元，总内容曝光≥1500万</t>
        </is>
      </c>
    </row>
    <row r="15" ht="42" customHeight="1">
      <c r="A15" s="21" t="inlineStr">
        <is>
          <t>收割期（第10-12周起）</t>
        </is>
      </c>
      <c r="B15" s="8" t="inlineStr">
        <is>
          <t>W10-W12</t>
        </is>
      </c>
      <c r="C15" s="8" t="inlineStr">
        <is>
          <t>转化沉淀、长尾运营、数据复盘</t>
        </is>
      </c>
      <c r="D15" s="9" t="inlineStr">
        <is>
          <t>会员打卡21天活动上线</t>
        </is>
      </c>
      <c r="E15" s="9" t="inlineStr">
        <is>
          <t>每天跑步/健身打卡，累积21天获限定跑鞋兑换资格，门店核销</t>
        </is>
      </c>
      <c r="F15" s="9" t="inlineStr">
        <is>
          <t>运营部</t>
        </is>
      </c>
      <c r="G15" s="9" t="inlineStr">
        <is>
          <t>参与人数≥1000、完成打卡≥300人</t>
        </is>
      </c>
    </row>
    <row r="16" ht="42" customHeight="1">
      <c r="A16" s="21" t="inlineStr">
        <is>
          <t>收割期（第10-12周起）</t>
        </is>
      </c>
      <c r="B16" s="8" t="inlineStr">
        <is>
          <t>W10-W12</t>
        </is>
      </c>
      <c r="C16" s="8" t="inlineStr">
        <is>
          <t>转化沉淀、长尾运营、数据复盘</t>
        </is>
      </c>
      <c r="D16" s="9" t="inlineStr">
        <is>
          <t>社群口碑维护与二次裂变</t>
        </is>
      </c>
      <c r="E16" s="9" t="inlineStr">
        <is>
          <t>拍摄盟域运营回顾短片，老用户邀请新朋友入群可获200元购鞋券</t>
        </is>
      </c>
      <c r="F16" s="9" t="inlineStr">
        <is>
          <t>社群运营</t>
        </is>
      </c>
      <c r="G16" s="9" t="inlineStr">
        <is>
          <t>群新增人数≥500、UGC回顾视频播放≥100万</t>
        </is>
      </c>
    </row>
    <row r="17" ht="42" customHeight="1">
      <c r="A17" s="21" t="inlineStr">
        <is>
          <t>收割期（第10-12周起）</t>
        </is>
      </c>
      <c r="B17" s="8" t="inlineStr">
        <is>
          <t>W10-W12</t>
        </is>
      </c>
      <c r="C17" s="8" t="inlineStr">
        <is>
          <t>转化沉淀、长尾运营、数据复盘</t>
        </is>
      </c>
      <c r="D17" s="9" t="inlineStr">
        <is>
          <t>剩余达人内容保质保量上线</t>
        </is>
      </c>
      <c r="E17" s="9" t="inlineStr">
        <is>
          <t>KOC层集中发布口碑测评（跑鞋透气、颜值实测），强化信任</t>
        </is>
      </c>
      <c r="F17" s="9" t="inlineStr">
        <is>
          <t>媒介部</t>
        </is>
      </c>
      <c r="G17" s="9" t="inlineStr">
        <is>
          <t>KOC内容≥30条、总互动量≥20万</t>
        </is>
      </c>
    </row>
    <row r="18" ht="42" customHeight="1">
      <c r="A18" s="21" t="inlineStr">
        <is>
          <t>收割期（第10-12周起）</t>
        </is>
      </c>
      <c r="B18" s="8" t="inlineStr">
        <is>
          <t>W10-W12</t>
        </is>
      </c>
      <c r="C18" s="8" t="inlineStr">
        <is>
          <t>转化沉淀、长尾运营、数据复盘</t>
        </is>
      </c>
      <c r="D18" s="9" t="inlineStr">
        <is>
          <t>全案数据复盘与总结</t>
        </is>
      </c>
      <c r="E18" s="9" t="inlineStr">
        <is>
          <t>统计曝光、互动、销售、NPS等核心KPI，形成结案报告+案例手册</t>
        </is>
      </c>
      <c r="F18" s="9" t="inlineStr">
        <is>
          <t>PMO</t>
        </is>
      </c>
      <c r="G18" s="9" t="inlineStr">
        <is>
          <t>结案报告PDF+颁奖案例包装</t>
        </is>
      </c>
    </row>
    <row r="22">
      <c r="A22" s="3" t="inlineStr">
        <is>
          <t>阶段</t>
        </is>
      </c>
      <c r="B22" s="3" t="inlineStr">
        <is>
          <t>起始周</t>
        </is>
      </c>
      <c r="C22" s="3" t="inlineStr">
        <is>
          <t>持续周数</t>
        </is>
      </c>
    </row>
    <row r="23">
      <c r="A23" s="8" t="inlineStr">
        <is>
          <t>筹备期</t>
        </is>
      </c>
      <c r="B23" s="8" t="n">
        <v>1</v>
      </c>
      <c r="C23" s="8" t="n">
        <v>2</v>
      </c>
    </row>
    <row r="24">
      <c r="A24" s="8" t="inlineStr">
        <is>
          <t>预热期</t>
        </is>
      </c>
      <c r="B24" s="8" t="n">
        <v>3</v>
      </c>
      <c r="C24" s="8" t="n">
        <v>2</v>
      </c>
    </row>
    <row r="25">
      <c r="A25" s="8" t="inlineStr">
        <is>
          <t>爆发期</t>
        </is>
      </c>
      <c r="B25" s="8" t="n">
        <v>5</v>
      </c>
      <c r="C25" s="8" t="n">
        <v>5</v>
      </c>
    </row>
    <row r="26">
      <c r="A26" s="8" t="inlineStr">
        <is>
          <t>收割期</t>
        </is>
      </c>
      <c r="B26" s="8" t="n">
        <v>10</v>
      </c>
      <c r="C26" s="8" t="n">
        <v>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8" customWidth="1" min="4" max="4"/>
    <col width="18" customWidth="1" min="5" max="5"/>
    <col width="30" customWidth="1" min="6" max="6"/>
    <col width="14" customWidth="1" min="7" max="7"/>
  </cols>
  <sheetData>
    <row r="1" ht="36" customHeight="1">
      <c r="A1" s="1" t="inlineStr">
        <is>
          <t>预期效果与 KPI — 四维指标体系</t>
        </is>
      </c>
    </row>
    <row r="2" ht="28" customHeight="1">
      <c r="A2" s="3" t="inlineStr">
        <is>
          <t>指标维度</t>
        </is>
      </c>
      <c r="B2" s="3" t="inlineStr">
        <is>
          <t>指标名称</t>
        </is>
      </c>
      <c r="C2" s="3" t="inlineStr">
        <is>
          <t>指标定义</t>
        </is>
      </c>
      <c r="D2" s="3" t="inlineStr">
        <is>
          <t>上海单城版目标值</t>
        </is>
      </c>
      <c r="E2" s="3" t="inlineStr">
        <is>
          <t>达成路径</t>
        </is>
      </c>
      <c r="G2" s="3" t="inlineStr">
        <is>
          <t>上海单城版数值</t>
        </is>
      </c>
    </row>
    <row r="3" ht="30" customHeight="1">
      <c r="A3" s="22" t="inlineStr">
        <is>
          <t>品牌传播</t>
        </is>
      </c>
      <c r="B3" s="9" t="inlineStr">
        <is>
          <t>总曝光量</t>
        </is>
      </c>
      <c r="C3" s="9" t="inlineStr">
        <is>
          <t>全平台(抖音/小红书/B站/微信/地铁)总计曝光次数</t>
        </is>
      </c>
      <c r="D3" s="8" t="inlineStr">
        <is>
          <t>3000万</t>
        </is>
      </c>
      <c r="E3" s="9" t="inlineStr">
        <is>
          <t>品牌曝光</t>
        </is>
      </c>
      <c r="G3" s="10" t="n">
        <v>3000</v>
      </c>
    </row>
    <row r="4" ht="30" customHeight="1">
      <c r="A4" s="22" t="inlineStr">
        <is>
          <t>品牌传播</t>
        </is>
      </c>
      <c r="B4" s="9" t="inlineStr">
        <is>
          <t>话题#上海街头我的主场#播放量</t>
        </is>
      </c>
      <c r="C4" s="9" t="inlineStr">
        <is>
          <t>抖音+小红书话题下视频总播放</t>
        </is>
      </c>
      <c r="D4" s="8" t="inlineStr">
        <is>
          <t>1200万</t>
        </is>
      </c>
      <c r="E4" s="9" t="inlineStr">
        <is>
          <t>品牌曝光</t>
        </is>
      </c>
      <c r="G4" s="10" t="n">
        <v>1200</v>
      </c>
    </row>
    <row r="5" ht="30" customHeight="1">
      <c r="A5" s="22" t="inlineStr">
        <is>
          <t>品牌传播</t>
        </is>
      </c>
      <c r="B5" s="9" t="inlineStr">
        <is>
          <t>品牌声量（全网提及）</t>
        </is>
      </c>
      <c r="C5" s="9" t="inlineStr">
        <is>
          <t>百度指数+微信指数环比增长率</t>
        </is>
      </c>
      <c r="D5" s="8" t="inlineStr">
        <is>
          <t>环比+25%</t>
        </is>
      </c>
      <c r="E5" s="9" t="inlineStr">
        <is>
          <t>品牌热度</t>
        </is>
      </c>
      <c r="G5" s="10" t="n">
        <v>25</v>
      </c>
    </row>
    <row r="6" ht="30" customHeight="1">
      <c r="A6" s="22" t="inlineStr">
        <is>
          <t>品牌传播</t>
        </is>
      </c>
      <c r="B6" s="9" t="inlineStr">
        <is>
          <t>内容传播互动量（含评论/点赞/转发）</t>
        </is>
      </c>
      <c r="C6" s="9" t="inlineStr">
        <is>
          <t>全平台品牌内容互动总和</t>
        </is>
      </c>
      <c r="D6" s="8" t="inlineStr">
        <is>
          <t>150万</t>
        </is>
      </c>
      <c r="E6" s="9" t="inlineStr">
        <is>
          <t>互动</t>
        </is>
      </c>
      <c r="G6" s="10" t="n">
        <v>150</v>
      </c>
    </row>
    <row r="7" ht="30" customHeight="1">
      <c r="A7" s="17" t="inlineStr">
        <is>
          <t>用户增长</t>
        </is>
      </c>
      <c r="B7" s="9" t="inlineStr">
        <is>
          <t>小程序新增用户数</t>
        </is>
      </c>
      <c r="C7" s="9" t="inlineStr">
        <is>
          <t>李宁官方小程序新增注册用户（上海地区）</t>
        </is>
      </c>
      <c r="D7" s="8" t="inlineStr">
        <is>
          <t>3万</t>
        </is>
      </c>
      <c r="E7" s="9" t="inlineStr">
        <is>
          <t>用户增长</t>
        </is>
      </c>
      <c r="G7" s="10" t="n">
        <v>30000</v>
      </c>
    </row>
    <row r="8" ht="30" customHeight="1">
      <c r="A8" s="17" t="inlineStr">
        <is>
          <t>用户增长</t>
        </is>
      </c>
      <c r="B8" s="9" t="inlineStr">
        <is>
          <t>社群新增人数</t>
        </is>
      </c>
      <c r="C8" s="9" t="inlineStr">
        <is>
          <t>三个盟域社群+门店社群总新增</t>
        </is>
      </c>
      <c r="D8" s="8" t="inlineStr">
        <is>
          <t>6000</t>
        </is>
      </c>
      <c r="E8" s="9" t="inlineStr">
        <is>
          <t>用户增长</t>
        </is>
      </c>
      <c r="G8" s="10" t="n">
        <v>6000</v>
      </c>
    </row>
    <row r="9" ht="30" customHeight="1">
      <c r="A9" s="17" t="inlineStr">
        <is>
          <t>用户增长</t>
        </is>
      </c>
      <c r="B9" s="9" t="inlineStr">
        <is>
          <t>会员打卡活动参与率</t>
        </is>
      </c>
      <c r="C9" s="9" t="inlineStr">
        <is>
          <t>完成21天打卡人数/参与人数</t>
        </is>
      </c>
      <c r="D9" s="8" t="inlineStr">
        <is>
          <t>30%</t>
        </is>
      </c>
      <c r="E9" s="9" t="inlineStr">
        <is>
          <t>用户增长</t>
        </is>
      </c>
      <c r="G9" s="10" t="n">
        <v>30</v>
      </c>
    </row>
    <row r="10" ht="30" customHeight="1">
      <c r="A10" s="19" t="inlineStr">
        <is>
          <t>销售转化</t>
        </is>
      </c>
      <c r="B10" s="9" t="inlineStr">
        <is>
          <t>总销售额预估</t>
        </is>
      </c>
      <c r="C10" s="9" t="inlineStr">
        <is>
          <t>全渠道（门店+电商+直播）GMV</t>
        </is>
      </c>
      <c r="D10" s="8" t="inlineStr">
        <is>
          <t>180万</t>
        </is>
      </c>
      <c r="E10" s="9" t="inlineStr">
        <is>
          <t>转化</t>
        </is>
      </c>
      <c r="G10" s="10" t="n">
        <v>180</v>
      </c>
    </row>
    <row r="11" ht="30" customHeight="1">
      <c r="A11" s="19" t="inlineStr">
        <is>
          <t>销售转化</t>
        </is>
      </c>
      <c r="B11" s="9" t="inlineStr">
        <is>
          <t>线索数</t>
        </is>
      </c>
      <c r="C11" s="9" t="inlineStr">
        <is>
          <t>活动留资（报名/领取优惠券/咨询）总数</t>
        </is>
      </c>
      <c r="D11" s="8" t="inlineStr">
        <is>
          <t>5000</t>
        </is>
      </c>
      <c r="E11" s="9" t="inlineStr">
        <is>
          <t>转化</t>
        </is>
      </c>
      <c r="G11" s="10" t="n">
        <v>5000</v>
      </c>
    </row>
    <row r="12" ht="30" customHeight="1">
      <c r="A12" s="19" t="inlineStr">
        <is>
          <t>销售转化</t>
        </is>
      </c>
      <c r="B12" s="9" t="inlineStr">
        <is>
          <t>转化率</t>
        </is>
      </c>
      <c r="C12" s="9" t="inlineStr">
        <is>
          <t>线索→购机转化百分比（以城市限定跑鞋为主）</t>
        </is>
      </c>
      <c r="D12" s="8" t="inlineStr">
        <is>
          <t>3%</t>
        </is>
      </c>
      <c r="E12" s="9" t="inlineStr">
        <is>
          <t>转化</t>
        </is>
      </c>
      <c r="G12" s="10" t="n">
        <v>3</v>
      </c>
    </row>
    <row r="13" ht="30" customHeight="1">
      <c r="A13" s="19" t="inlineStr">
        <is>
          <t>销售转化</t>
        </is>
      </c>
      <c r="B13" s="9" t="inlineStr">
        <is>
          <t>直播带货GMV</t>
        </is>
      </c>
      <c r="C13" s="9" t="inlineStr">
        <is>
          <t>5位头部达人直播带货合计GMV</t>
        </is>
      </c>
      <c r="D13" s="8" t="inlineStr">
        <is>
          <t>60万</t>
        </is>
      </c>
      <c r="E13" s="9" t="inlineStr">
        <is>
          <t>转化</t>
        </is>
      </c>
      <c r="G13" s="10" t="n">
        <v>60</v>
      </c>
    </row>
    <row r="14" ht="30" customHeight="1">
      <c r="A14" s="20" t="inlineStr">
        <is>
          <t>渠道建设</t>
        </is>
      </c>
      <c r="B14" s="9" t="inlineStr">
        <is>
          <t>盟域合作场馆数量</t>
        </is>
      </c>
      <c r="C14" s="9" t="inlineStr">
        <is>
          <t>完成签约的盟域场地</t>
        </is>
      </c>
      <c r="D14" s="8" t="inlineStr">
        <is>
          <t>3个</t>
        </is>
      </c>
      <c r="E14" s="9" t="inlineStr">
        <is>
          <t>渠道</t>
        </is>
      </c>
      <c r="G14" s="10" t="n">
        <v>3</v>
      </c>
    </row>
    <row r="15" ht="30" customHeight="1">
      <c r="A15" s="20" t="inlineStr">
        <is>
          <t>渠道建设</t>
        </is>
      </c>
      <c r="B15" s="9" t="inlineStr">
        <is>
          <t>门店经营社触达人数</t>
        </is>
      </c>
      <c r="C15" s="9" t="inlineStr">
        <is>
          <t>快闪+门店试穿体验总人次</t>
        </is>
      </c>
      <c r="D15" s="8" t="inlineStr">
        <is>
          <t>10万</t>
        </is>
      </c>
      <c r="E15" s="9" t="inlineStr">
        <is>
          <t>渠道</t>
        </is>
      </c>
      <c r="G15" s="10" t="n">
        <v>10</v>
      </c>
    </row>
    <row r="16" ht="30" customHeight="1">
      <c r="A16" s="20" t="inlineStr">
        <is>
          <t>渠道建设</t>
        </is>
      </c>
      <c r="B16" s="9" t="inlineStr">
        <is>
          <t>达人合作内容数</t>
        </is>
      </c>
      <c r="C16" s="9" t="inlineStr">
        <is>
          <t>所有达人产出内容总数（含短视频/图文/直播）</t>
        </is>
      </c>
      <c r="D16" s="8" t="inlineStr">
        <is>
          <t>70条</t>
        </is>
      </c>
      <c r="E16" s="9" t="inlineStr">
        <is>
          <t>渠道</t>
        </is>
      </c>
      <c r="G16" s="10" t="n">
        <v>70</v>
      </c>
    </row>
    <row r="17" ht="30" customHeight="1">
      <c r="A17" s="20" t="inlineStr">
        <is>
          <t>渠道建设</t>
        </is>
      </c>
      <c r="B17" s="9" t="inlineStr">
        <is>
          <t>品牌在社群中的 NPS</t>
        </is>
      </c>
      <c r="C17" s="9" t="inlineStr">
        <is>
          <t>社群内用户满意度净推荐值（调研）</t>
        </is>
      </c>
      <c r="D17" s="8" t="inlineStr">
        <is>
          <t>≥60</t>
        </is>
      </c>
      <c r="E17" s="9" t="inlineStr">
        <is>
          <t>渠道</t>
        </is>
      </c>
      <c r="G17" s="10" t="n">
        <v>60</v>
      </c>
    </row>
    <row r="19" ht="28" customHeight="1">
      <c r="A19" s="22" t="inlineStr">
        <is>
          <t>ROI 投入产出分析</t>
        </is>
      </c>
    </row>
    <row r="20" ht="28" customHeight="1">
      <c r="A20" s="12" t="inlineStr">
        <is>
          <t>总预算</t>
        </is>
      </c>
      <c r="B20" s="9" t="inlineStr">
        <is>
          <t>总投入(万元)</t>
        </is>
      </c>
      <c r="C20" s="9" t="inlineStr">
        <is>
          <t>方案总预算</t>
        </is>
      </c>
      <c r="D20" s="8" t="inlineStr">
        <is>
          <t>60</t>
        </is>
      </c>
      <c r="E20" s="9" t="inlineStr"/>
    </row>
    <row r="21" ht="28" customHeight="1">
      <c r="A21" s="12" t="inlineStr">
        <is>
          <t>预估营收</t>
        </is>
      </c>
      <c r="B21" s="9" t="inlineStr">
        <is>
          <t>总销售额(万元)</t>
        </is>
      </c>
      <c r="C21" s="9" t="inlineStr">
        <is>
          <t>全渠道GMV预估</t>
        </is>
      </c>
      <c r="D21" s="8" t="inlineStr">
        <is>
          <t>180</t>
        </is>
      </c>
      <c r="E21" s="9" t="inlineStr"/>
    </row>
    <row r="22" ht="28" customHeight="1">
      <c r="A22" s="12" t="inlineStr">
        <is>
          <t>ROI</t>
        </is>
      </c>
      <c r="B22" s="9" t="inlineStr">
        <is>
          <t>收入/投入比</t>
        </is>
      </c>
      <c r="C22" s="9" t="inlineStr">
        <is>
          <t>销售额/预算</t>
        </is>
      </c>
      <c r="D22" s="8" t="inlineStr">
        <is>
          <t>3</t>
        </is>
      </c>
      <c r="E22" s="9" t="inlineStr"/>
    </row>
    <row r="23" ht="28" customHeight="1">
      <c r="A23" s="12" t="inlineStr">
        <is>
          <t>效率指标</t>
        </is>
      </c>
      <c r="B23" s="9" t="inlineStr">
        <is>
          <t>CPM(元/千次)</t>
        </is>
      </c>
      <c r="C23" s="9" t="inlineStr">
        <is>
          <t>有效曝光成本</t>
        </is>
      </c>
      <c r="D23" s="8" t="inlineStr">
        <is>
          <t>20</t>
        </is>
      </c>
      <c r="E23" s="9" t="inlineStr">
        <is>
          <t>含活动自然曝光与付费投放加权</t>
        </is>
      </c>
    </row>
    <row r="52">
      <c r="A52" s="3" t="inlineStr">
        <is>
          <t>项目</t>
        </is>
      </c>
      <c r="B52" s="3" t="inlineStr">
        <is>
          <t>上海单城版</t>
        </is>
      </c>
    </row>
    <row r="53">
      <c r="A53" s="9" t="inlineStr">
        <is>
          <t>总预算</t>
        </is>
      </c>
      <c r="B53" s="23" t="n">
        <v>60</v>
      </c>
    </row>
    <row r="54">
      <c r="A54" s="9" t="inlineStr">
        <is>
          <t>预估营收</t>
        </is>
      </c>
      <c r="B54" s="23" t="n">
        <v>180</v>
      </c>
    </row>
    <row r="57">
      <c r="A57" s="3" t="inlineStr">
        <is>
          <t>维度</t>
        </is>
      </c>
      <c r="B57" s="3" t="inlineStr">
        <is>
          <t>上海单城版得分</t>
        </is>
      </c>
    </row>
    <row r="58">
      <c r="A58" s="9" t="inlineStr">
        <is>
          <t>品牌传播</t>
        </is>
      </c>
      <c r="B58" s="8" t="n">
        <v>85</v>
      </c>
    </row>
    <row r="59">
      <c r="A59" s="9" t="inlineStr">
        <is>
          <t>用户增长</t>
        </is>
      </c>
      <c r="B59" s="8" t="n">
        <v>70</v>
      </c>
    </row>
    <row r="60">
      <c r="A60" s="9" t="inlineStr">
        <is>
          <t>销售转化</t>
        </is>
      </c>
      <c r="B60" s="8" t="n">
        <v>75</v>
      </c>
    </row>
    <row r="61">
      <c r="A61" s="9" t="inlineStr">
        <is>
          <t>渠道建设</t>
        </is>
      </c>
      <c r="B61" s="8" t="n">
        <v>80</v>
      </c>
    </row>
  </sheetData>
  <mergeCells count="2">
    <mergeCell ref="A1:F1"/>
    <mergeCell ref="A19:E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2026-07-09T09:20:27Z</dcterms:created>
  <dcterms:modified xmlns:dcterms="http://purl.org/dc/terms/" xmlns:xsi="http://www.w3.org/2001/XMLSchema-instance" xsi:type="dcterms:W3CDTF">2026-07-09T09:20:27Z</dcterms:modified>
</cp:coreProperties>
</file>